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kidsteam-my.sharepoint.com/personal/thomas_kids-team_at/Documents/"/>
    </mc:Choice>
  </mc:AlternateContent>
  <xr:revisionPtr revIDLastSave="0" documentId="8_{111D2D77-D144-5F4D-9D17-6248F324A4E9}" xr6:coauthVersionLast="47" xr6:coauthVersionMax="47" xr10:uidLastSave="{00000000-0000-0000-0000-000000000000}"/>
  <bookViews>
    <workbookView xWindow="0" yWindow="500" windowWidth="28800" windowHeight="16100" tabRatio="903" xr2:uid="{00000000-000D-0000-FFFF-FFFF00000000}"/>
  </bookViews>
  <sheets>
    <sheet name="Übersicht" sheetId="125" r:id="rId1"/>
    <sheet name="Rechenblatt" sheetId="383" r:id="rId2"/>
    <sheet name="KW 1" sheetId="223" r:id="rId3"/>
    <sheet name="KW 2" sheetId="487" r:id="rId4"/>
    <sheet name="KW 3" sheetId="488" r:id="rId5"/>
    <sheet name="KW 4" sheetId="489" r:id="rId6"/>
    <sheet name="KW 5" sheetId="490" r:id="rId7"/>
    <sheet name="KW 6" sheetId="491" r:id="rId8"/>
    <sheet name="KW 7" sheetId="492" r:id="rId9"/>
    <sheet name="KW 8" sheetId="493" r:id="rId10"/>
    <sheet name="KW 9" sheetId="494" r:id="rId11"/>
    <sheet name="KW 10" sheetId="495" r:id="rId12"/>
    <sheet name="KW 11" sheetId="496" r:id="rId13"/>
    <sheet name="KW 12" sheetId="497" r:id="rId14"/>
    <sheet name="KW 13" sheetId="498" r:id="rId15"/>
    <sheet name="KW 14" sheetId="499" r:id="rId16"/>
    <sheet name="KW 15" sheetId="500" r:id="rId17"/>
    <sheet name="KW 16" sheetId="501" r:id="rId18"/>
    <sheet name="KW 17" sheetId="502" r:id="rId19"/>
    <sheet name="KW 18" sheetId="503" r:id="rId20"/>
    <sheet name="KW 19" sheetId="504" r:id="rId21"/>
    <sheet name="KW 20" sheetId="505" r:id="rId22"/>
    <sheet name="KW 21" sheetId="506" r:id="rId23"/>
    <sheet name="KW 22" sheetId="507" r:id="rId24"/>
    <sheet name="KW 23" sheetId="508" r:id="rId25"/>
    <sheet name="KW 24" sheetId="509" r:id="rId26"/>
    <sheet name="KW 25" sheetId="510" r:id="rId27"/>
    <sheet name="KW 26" sheetId="511" r:id="rId28"/>
    <sheet name="KW 27" sheetId="512" r:id="rId29"/>
    <sheet name="KW 28" sheetId="513" r:id="rId30"/>
    <sheet name="KW 29" sheetId="514" r:id="rId31"/>
    <sheet name="KW 30" sheetId="515" r:id="rId32"/>
    <sheet name="KW 31" sheetId="516" r:id="rId33"/>
    <sheet name="KW 32" sheetId="517" r:id="rId34"/>
    <sheet name="KW 33" sheetId="518" r:id="rId35"/>
    <sheet name="KW 34" sheetId="519" r:id="rId36"/>
    <sheet name="KW 35" sheetId="520" r:id="rId37"/>
    <sheet name="KW 36" sheetId="521" r:id="rId38"/>
    <sheet name="KW 37" sheetId="522" r:id="rId39"/>
    <sheet name="KW 38" sheetId="523" r:id="rId40"/>
    <sheet name="KW 39" sheetId="524" r:id="rId41"/>
    <sheet name="KW 40" sheetId="525" r:id="rId42"/>
    <sheet name="KW 41" sheetId="526" r:id="rId43"/>
    <sheet name="KW 42" sheetId="527" r:id="rId44"/>
    <sheet name="KW 43" sheetId="528" r:id="rId45"/>
    <sheet name="KW 44" sheetId="529" r:id="rId46"/>
    <sheet name="KW 45" sheetId="530" r:id="rId47"/>
    <sheet name="KW 46" sheetId="531" r:id="rId48"/>
    <sheet name="KW 47" sheetId="532" r:id="rId49"/>
    <sheet name="KW 48" sheetId="533" r:id="rId50"/>
    <sheet name="KW 49" sheetId="534" r:id="rId51"/>
    <sheet name="KW 50" sheetId="535" r:id="rId52"/>
    <sheet name="KW 51" sheetId="536" r:id="rId53"/>
    <sheet name="KW 52" sheetId="537" r:id="rId54"/>
    <sheet name="KW 53" sheetId="538" r:id="rId55"/>
  </sheet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67" i="383" l="1"/>
  <c r="L367" i="383"/>
  <c r="K367" i="383"/>
  <c r="J367" i="383"/>
  <c r="I367" i="383"/>
  <c r="H367" i="383"/>
  <c r="G367" i="383"/>
  <c r="F367" i="383"/>
  <c r="E367" i="383"/>
  <c r="M366" i="383"/>
  <c r="L366" i="383"/>
  <c r="K366" i="383"/>
  <c r="J366" i="383"/>
  <c r="I366" i="383"/>
  <c r="H366" i="383"/>
  <c r="G366" i="383"/>
  <c r="F366" i="383"/>
  <c r="E366" i="383"/>
  <c r="M365" i="383"/>
  <c r="L365" i="383"/>
  <c r="K365" i="383"/>
  <c r="J365" i="383"/>
  <c r="I365" i="383"/>
  <c r="H365" i="383"/>
  <c r="G365" i="383"/>
  <c r="F365" i="383"/>
  <c r="E365" i="383"/>
  <c r="M364" i="383"/>
  <c r="L364" i="383"/>
  <c r="K364" i="383"/>
  <c r="J364" i="383"/>
  <c r="I364" i="383"/>
  <c r="H364" i="383"/>
  <c r="G364" i="383"/>
  <c r="F364" i="383"/>
  <c r="E364" i="383"/>
  <c r="M363" i="383"/>
  <c r="L363" i="383"/>
  <c r="K363" i="383"/>
  <c r="J363" i="383"/>
  <c r="I363" i="383"/>
  <c r="H363" i="383"/>
  <c r="G363" i="383"/>
  <c r="F363" i="383"/>
  <c r="E363" i="383"/>
  <c r="M362" i="383"/>
  <c r="L362" i="383"/>
  <c r="K362" i="383"/>
  <c r="J362" i="383"/>
  <c r="I362" i="383"/>
  <c r="H362" i="383"/>
  <c r="G362" i="383"/>
  <c r="F362" i="383"/>
  <c r="E362" i="383"/>
  <c r="M361" i="383"/>
  <c r="L361" i="383"/>
  <c r="K361" i="383"/>
  <c r="J361" i="383"/>
  <c r="I361" i="383"/>
  <c r="H361" i="383"/>
  <c r="G361" i="383"/>
  <c r="F361" i="383"/>
  <c r="E361" i="383"/>
  <c r="M360" i="383"/>
  <c r="L360" i="383"/>
  <c r="K360" i="383"/>
  <c r="J360" i="383"/>
  <c r="I360" i="383"/>
  <c r="H360" i="383"/>
  <c r="G360" i="383"/>
  <c r="F360" i="383"/>
  <c r="E360" i="383"/>
  <c r="M359" i="383"/>
  <c r="L359" i="383"/>
  <c r="K359" i="383"/>
  <c r="J359" i="383"/>
  <c r="I359" i="383"/>
  <c r="H359" i="383"/>
  <c r="G359" i="383"/>
  <c r="F359" i="383"/>
  <c r="E359" i="383"/>
  <c r="M358" i="383"/>
  <c r="L358" i="383"/>
  <c r="K358" i="383"/>
  <c r="J358" i="383"/>
  <c r="I358" i="383"/>
  <c r="H358" i="383"/>
  <c r="G358" i="383"/>
  <c r="F358" i="383"/>
  <c r="E358" i="383"/>
  <c r="M357" i="383"/>
  <c r="L357" i="383"/>
  <c r="K357" i="383"/>
  <c r="J357" i="383"/>
  <c r="I357" i="383"/>
  <c r="H357" i="383"/>
  <c r="G357" i="383"/>
  <c r="F357" i="383"/>
  <c r="E357" i="383"/>
  <c r="M356" i="383"/>
  <c r="L356" i="383"/>
  <c r="K356" i="383"/>
  <c r="J356" i="383"/>
  <c r="I356" i="383"/>
  <c r="H356" i="383"/>
  <c r="G356" i="383"/>
  <c r="F356" i="383"/>
  <c r="E356" i="383"/>
  <c r="M355" i="383"/>
  <c r="L355" i="383"/>
  <c r="K355" i="383"/>
  <c r="J355" i="383"/>
  <c r="I355" i="383"/>
  <c r="H355" i="383"/>
  <c r="G355" i="383"/>
  <c r="F355" i="383"/>
  <c r="E355" i="383"/>
  <c r="M354" i="383"/>
  <c r="L354" i="383"/>
  <c r="K354" i="383"/>
  <c r="J354" i="383"/>
  <c r="I354" i="383"/>
  <c r="H354" i="383"/>
  <c r="G354" i="383"/>
  <c r="F354" i="383"/>
  <c r="E354" i="383"/>
  <c r="M353" i="383"/>
  <c r="L353" i="383"/>
  <c r="K353" i="383"/>
  <c r="J353" i="383"/>
  <c r="I353" i="383"/>
  <c r="H353" i="383"/>
  <c r="G353" i="383"/>
  <c r="F353" i="383"/>
  <c r="E353" i="383"/>
  <c r="M352" i="383"/>
  <c r="L352" i="383"/>
  <c r="K352" i="383"/>
  <c r="J352" i="383"/>
  <c r="I352" i="383"/>
  <c r="H352" i="383"/>
  <c r="G352" i="383"/>
  <c r="F352" i="383"/>
  <c r="E352" i="383"/>
  <c r="M351" i="383"/>
  <c r="L351" i="383"/>
  <c r="K351" i="383"/>
  <c r="J351" i="383"/>
  <c r="I351" i="383"/>
  <c r="H351" i="383"/>
  <c r="G351" i="383"/>
  <c r="F351" i="383"/>
  <c r="E351" i="383"/>
  <c r="M350" i="383"/>
  <c r="L350" i="383"/>
  <c r="K350" i="383"/>
  <c r="J350" i="383"/>
  <c r="I350" i="383"/>
  <c r="H350" i="383"/>
  <c r="G350" i="383"/>
  <c r="F350" i="383"/>
  <c r="E350" i="383"/>
  <c r="M349" i="383"/>
  <c r="L349" i="383"/>
  <c r="K349" i="383"/>
  <c r="J349" i="383"/>
  <c r="I349" i="383"/>
  <c r="H349" i="383"/>
  <c r="G349" i="383"/>
  <c r="F349" i="383"/>
  <c r="E349" i="383"/>
  <c r="M348" i="383"/>
  <c r="L348" i="383"/>
  <c r="K348" i="383"/>
  <c r="J348" i="383"/>
  <c r="I348" i="383"/>
  <c r="H348" i="383"/>
  <c r="G348" i="383"/>
  <c r="F348" i="383"/>
  <c r="E348" i="383"/>
  <c r="M347" i="383"/>
  <c r="L347" i="383"/>
  <c r="K347" i="383"/>
  <c r="J347" i="383"/>
  <c r="I347" i="383"/>
  <c r="H347" i="383"/>
  <c r="G347" i="383"/>
  <c r="F347" i="383"/>
  <c r="E347" i="383"/>
  <c r="M346" i="383"/>
  <c r="L346" i="383"/>
  <c r="K346" i="383"/>
  <c r="J346" i="383"/>
  <c r="I346" i="383"/>
  <c r="H346" i="383"/>
  <c r="G346" i="383"/>
  <c r="F346" i="383"/>
  <c r="E346" i="383"/>
  <c r="M345" i="383"/>
  <c r="L345" i="383"/>
  <c r="K345" i="383"/>
  <c r="J345" i="383"/>
  <c r="I345" i="383"/>
  <c r="H345" i="383"/>
  <c r="G345" i="383"/>
  <c r="F345" i="383"/>
  <c r="E345" i="383"/>
  <c r="M344" i="383"/>
  <c r="L344" i="383"/>
  <c r="K344" i="383"/>
  <c r="J344" i="383"/>
  <c r="I344" i="383"/>
  <c r="H344" i="383"/>
  <c r="G344" i="383"/>
  <c r="F344" i="383"/>
  <c r="E344" i="383"/>
  <c r="M343" i="383"/>
  <c r="L343" i="383"/>
  <c r="K343" i="383"/>
  <c r="J343" i="383"/>
  <c r="I343" i="383"/>
  <c r="H343" i="383"/>
  <c r="G343" i="383"/>
  <c r="F343" i="383"/>
  <c r="E343" i="383"/>
  <c r="M342" i="383"/>
  <c r="L342" i="383"/>
  <c r="K342" i="383"/>
  <c r="J342" i="383"/>
  <c r="I342" i="383"/>
  <c r="H342" i="383"/>
  <c r="G342" i="383"/>
  <c r="F342" i="383"/>
  <c r="E342" i="383"/>
  <c r="M341" i="383"/>
  <c r="L341" i="383"/>
  <c r="K341" i="383"/>
  <c r="J341" i="383"/>
  <c r="I341" i="383"/>
  <c r="H341" i="383"/>
  <c r="G341" i="383"/>
  <c r="F341" i="383"/>
  <c r="E341" i="383"/>
  <c r="M340" i="383"/>
  <c r="L340" i="383"/>
  <c r="K340" i="383"/>
  <c r="J340" i="383"/>
  <c r="I340" i="383"/>
  <c r="H340" i="383"/>
  <c r="G340" i="383"/>
  <c r="F340" i="383"/>
  <c r="E340" i="383"/>
  <c r="M339" i="383"/>
  <c r="L339" i="383"/>
  <c r="K339" i="383"/>
  <c r="J339" i="383"/>
  <c r="I339" i="383"/>
  <c r="H339" i="383"/>
  <c r="G339" i="383"/>
  <c r="F339" i="383"/>
  <c r="E339" i="383"/>
  <c r="M338" i="383"/>
  <c r="L338" i="383"/>
  <c r="K338" i="383"/>
  <c r="J338" i="383"/>
  <c r="I338" i="383"/>
  <c r="H338" i="383"/>
  <c r="G338" i="383"/>
  <c r="F338" i="383"/>
  <c r="E338" i="383"/>
  <c r="M337" i="383"/>
  <c r="L337" i="383"/>
  <c r="K337" i="383"/>
  <c r="J337" i="383"/>
  <c r="I337" i="383"/>
  <c r="H337" i="383"/>
  <c r="G337" i="383"/>
  <c r="F337" i="383"/>
  <c r="E337" i="383"/>
  <c r="M336" i="383"/>
  <c r="L336" i="383"/>
  <c r="K336" i="383"/>
  <c r="J336" i="383"/>
  <c r="I336" i="383"/>
  <c r="H336" i="383"/>
  <c r="G336" i="383"/>
  <c r="F336" i="383"/>
  <c r="E336" i="383"/>
  <c r="M335" i="383"/>
  <c r="L335" i="383"/>
  <c r="K335" i="383"/>
  <c r="J335" i="383"/>
  <c r="I335" i="383"/>
  <c r="H335" i="383"/>
  <c r="G335" i="383"/>
  <c r="F335" i="383"/>
  <c r="E335" i="383"/>
  <c r="M334" i="383"/>
  <c r="L334" i="383"/>
  <c r="K334" i="383"/>
  <c r="J334" i="383"/>
  <c r="I334" i="383"/>
  <c r="H334" i="383"/>
  <c r="G334" i="383"/>
  <c r="F334" i="383"/>
  <c r="E334" i="383"/>
  <c r="M333" i="383"/>
  <c r="L333" i="383"/>
  <c r="K333" i="383"/>
  <c r="J333" i="383"/>
  <c r="I333" i="383"/>
  <c r="H333" i="383"/>
  <c r="G333" i="383"/>
  <c r="F333" i="383"/>
  <c r="E333" i="383"/>
  <c r="M332" i="383"/>
  <c r="L332" i="383"/>
  <c r="K332" i="383"/>
  <c r="J332" i="383"/>
  <c r="I332" i="383"/>
  <c r="H332" i="383"/>
  <c r="G332" i="383"/>
  <c r="F332" i="383"/>
  <c r="E332" i="383"/>
  <c r="M331" i="383"/>
  <c r="L331" i="383"/>
  <c r="K331" i="383"/>
  <c r="J331" i="383"/>
  <c r="I331" i="383"/>
  <c r="H331" i="383"/>
  <c r="G331" i="383"/>
  <c r="F331" i="383"/>
  <c r="E331" i="383"/>
  <c r="M330" i="383"/>
  <c r="L330" i="383"/>
  <c r="K330" i="383"/>
  <c r="J330" i="383"/>
  <c r="I330" i="383"/>
  <c r="H330" i="383"/>
  <c r="G330" i="383"/>
  <c r="F330" i="383"/>
  <c r="E330" i="383"/>
  <c r="M329" i="383"/>
  <c r="L329" i="383"/>
  <c r="K329" i="383"/>
  <c r="J329" i="383"/>
  <c r="I329" i="383"/>
  <c r="H329" i="383"/>
  <c r="G329" i="383"/>
  <c r="F329" i="383"/>
  <c r="E329" i="383"/>
  <c r="M328" i="383"/>
  <c r="L328" i="383"/>
  <c r="K328" i="383"/>
  <c r="J328" i="383"/>
  <c r="I328" i="383"/>
  <c r="H328" i="383"/>
  <c r="G328" i="383"/>
  <c r="F328" i="383"/>
  <c r="E328" i="383"/>
  <c r="M327" i="383"/>
  <c r="L327" i="383"/>
  <c r="K327" i="383"/>
  <c r="J327" i="383"/>
  <c r="I327" i="383"/>
  <c r="H327" i="383"/>
  <c r="G327" i="383"/>
  <c r="F327" i="383"/>
  <c r="E327" i="383"/>
  <c r="M326" i="383"/>
  <c r="L326" i="383"/>
  <c r="K326" i="383"/>
  <c r="J326" i="383"/>
  <c r="I326" i="383"/>
  <c r="H326" i="383"/>
  <c r="G326" i="383"/>
  <c r="F326" i="383"/>
  <c r="E326" i="383"/>
  <c r="M325" i="383"/>
  <c r="L325" i="383"/>
  <c r="K325" i="383"/>
  <c r="J325" i="383"/>
  <c r="I325" i="383"/>
  <c r="H325" i="383"/>
  <c r="G325" i="383"/>
  <c r="F325" i="383"/>
  <c r="E325" i="383"/>
  <c r="M324" i="383"/>
  <c r="L324" i="383"/>
  <c r="K324" i="383"/>
  <c r="J324" i="383"/>
  <c r="I324" i="383"/>
  <c r="H324" i="383"/>
  <c r="G324" i="383"/>
  <c r="F324" i="383"/>
  <c r="E324" i="383"/>
  <c r="M323" i="383"/>
  <c r="L323" i="383"/>
  <c r="K323" i="383"/>
  <c r="J323" i="383"/>
  <c r="I323" i="383"/>
  <c r="H323" i="383"/>
  <c r="G323" i="383"/>
  <c r="F323" i="383"/>
  <c r="E323" i="383"/>
  <c r="M322" i="383"/>
  <c r="L322" i="383"/>
  <c r="K322" i="383"/>
  <c r="J322" i="383"/>
  <c r="I322" i="383"/>
  <c r="H322" i="383"/>
  <c r="G322" i="383"/>
  <c r="F322" i="383"/>
  <c r="E322" i="383"/>
  <c r="M321" i="383"/>
  <c r="L321" i="383"/>
  <c r="K321" i="383"/>
  <c r="J321" i="383"/>
  <c r="I321" i="383"/>
  <c r="H321" i="383"/>
  <c r="G321" i="383"/>
  <c r="F321" i="383"/>
  <c r="E321" i="383"/>
  <c r="M320" i="383"/>
  <c r="L320" i="383"/>
  <c r="K320" i="383"/>
  <c r="J320" i="383"/>
  <c r="I320" i="383"/>
  <c r="H320" i="383"/>
  <c r="G320" i="383"/>
  <c r="F320" i="383"/>
  <c r="E320" i="383"/>
  <c r="M319" i="383"/>
  <c r="L319" i="383"/>
  <c r="K319" i="383"/>
  <c r="J319" i="383"/>
  <c r="I319" i="383"/>
  <c r="H319" i="383"/>
  <c r="G319" i="383"/>
  <c r="F319" i="383"/>
  <c r="E319" i="383"/>
  <c r="M318" i="383"/>
  <c r="L318" i="383"/>
  <c r="K318" i="383"/>
  <c r="J318" i="383"/>
  <c r="I318" i="383"/>
  <c r="H318" i="383"/>
  <c r="G318" i="383"/>
  <c r="F318" i="383"/>
  <c r="E318" i="383"/>
  <c r="M317" i="383"/>
  <c r="L317" i="383"/>
  <c r="K317" i="383"/>
  <c r="J317" i="383"/>
  <c r="I317" i="383"/>
  <c r="H317" i="383"/>
  <c r="G317" i="383"/>
  <c r="F317" i="383"/>
  <c r="E317" i="383"/>
  <c r="M316" i="383"/>
  <c r="L316" i="383"/>
  <c r="K316" i="383"/>
  <c r="J316" i="383"/>
  <c r="I316" i="383"/>
  <c r="H316" i="383"/>
  <c r="G316" i="383"/>
  <c r="F316" i="383"/>
  <c r="E316" i="383"/>
  <c r="M315" i="383"/>
  <c r="L315" i="383"/>
  <c r="K315" i="383"/>
  <c r="J315" i="383"/>
  <c r="I315" i="383"/>
  <c r="H315" i="383"/>
  <c r="G315" i="383"/>
  <c r="F315" i="383"/>
  <c r="E315" i="383"/>
  <c r="M314" i="383"/>
  <c r="L314" i="383"/>
  <c r="K314" i="383"/>
  <c r="J314" i="383"/>
  <c r="I314" i="383"/>
  <c r="H314" i="383"/>
  <c r="G314" i="383"/>
  <c r="F314" i="383"/>
  <c r="E314" i="383"/>
  <c r="M313" i="383"/>
  <c r="L313" i="383"/>
  <c r="K313" i="383"/>
  <c r="J313" i="383"/>
  <c r="I313" i="383"/>
  <c r="H313" i="383"/>
  <c r="G313" i="383"/>
  <c r="F313" i="383"/>
  <c r="E313" i="383"/>
  <c r="M312" i="383"/>
  <c r="L312" i="383"/>
  <c r="K312" i="383"/>
  <c r="J312" i="383"/>
  <c r="I312" i="383"/>
  <c r="H312" i="383"/>
  <c r="G312" i="383"/>
  <c r="F312" i="383"/>
  <c r="E312" i="383"/>
  <c r="M311" i="383"/>
  <c r="L311" i="383"/>
  <c r="K311" i="383"/>
  <c r="J311" i="383"/>
  <c r="I311" i="383"/>
  <c r="H311" i="383"/>
  <c r="G311" i="383"/>
  <c r="F311" i="383"/>
  <c r="E311" i="383"/>
  <c r="M310" i="383"/>
  <c r="L310" i="383"/>
  <c r="K310" i="383"/>
  <c r="J310" i="383"/>
  <c r="I310" i="383"/>
  <c r="H310" i="383"/>
  <c r="G310" i="383"/>
  <c r="F310" i="383"/>
  <c r="E310" i="383"/>
  <c r="M309" i="383"/>
  <c r="L309" i="383"/>
  <c r="K309" i="383"/>
  <c r="J309" i="383"/>
  <c r="I309" i="383"/>
  <c r="H309" i="383"/>
  <c r="G309" i="383"/>
  <c r="F309" i="383"/>
  <c r="E309" i="383"/>
  <c r="M308" i="383"/>
  <c r="L308" i="383"/>
  <c r="K308" i="383"/>
  <c r="J308" i="383"/>
  <c r="I308" i="383"/>
  <c r="H308" i="383"/>
  <c r="G308" i="383"/>
  <c r="F308" i="383"/>
  <c r="E308" i="383"/>
  <c r="M307" i="383"/>
  <c r="L307" i="383"/>
  <c r="K307" i="383"/>
  <c r="J307" i="383"/>
  <c r="I307" i="383"/>
  <c r="H307" i="383"/>
  <c r="G307" i="383"/>
  <c r="F307" i="383"/>
  <c r="E307" i="383"/>
  <c r="M306" i="383"/>
  <c r="L306" i="383"/>
  <c r="K306" i="383"/>
  <c r="J306" i="383"/>
  <c r="I306" i="383"/>
  <c r="H306" i="383"/>
  <c r="G306" i="383"/>
  <c r="F306" i="383"/>
  <c r="E306" i="383"/>
  <c r="M305" i="383"/>
  <c r="L305" i="383"/>
  <c r="K305" i="383"/>
  <c r="J305" i="383"/>
  <c r="I305" i="383"/>
  <c r="H305" i="383"/>
  <c r="G305" i="383"/>
  <c r="F305" i="383"/>
  <c r="E305" i="383"/>
  <c r="M304" i="383"/>
  <c r="L304" i="383"/>
  <c r="K304" i="383"/>
  <c r="J304" i="383"/>
  <c r="I304" i="383"/>
  <c r="H304" i="383"/>
  <c r="G304" i="383"/>
  <c r="F304" i="383"/>
  <c r="E304" i="383"/>
  <c r="M303" i="383"/>
  <c r="L303" i="383"/>
  <c r="K303" i="383"/>
  <c r="J303" i="383"/>
  <c r="I303" i="383"/>
  <c r="H303" i="383"/>
  <c r="G303" i="383"/>
  <c r="F303" i="383"/>
  <c r="E303" i="383"/>
  <c r="M302" i="383"/>
  <c r="L302" i="383"/>
  <c r="K302" i="383"/>
  <c r="J302" i="383"/>
  <c r="I302" i="383"/>
  <c r="H302" i="383"/>
  <c r="G302" i="383"/>
  <c r="F302" i="383"/>
  <c r="E302" i="383"/>
  <c r="M301" i="383"/>
  <c r="L301" i="383"/>
  <c r="K301" i="383"/>
  <c r="J301" i="383"/>
  <c r="I301" i="383"/>
  <c r="H301" i="383"/>
  <c r="G301" i="383"/>
  <c r="F301" i="383"/>
  <c r="E301" i="383"/>
  <c r="M300" i="383"/>
  <c r="L300" i="383"/>
  <c r="K300" i="383"/>
  <c r="J300" i="383"/>
  <c r="I300" i="383"/>
  <c r="H300" i="383"/>
  <c r="G300" i="383"/>
  <c r="F300" i="383"/>
  <c r="E300" i="383"/>
  <c r="M299" i="383"/>
  <c r="L299" i="383"/>
  <c r="K299" i="383"/>
  <c r="J299" i="383"/>
  <c r="I299" i="383"/>
  <c r="H299" i="383"/>
  <c r="G299" i="383"/>
  <c r="F299" i="383"/>
  <c r="E299" i="383"/>
  <c r="M298" i="383"/>
  <c r="L298" i="383"/>
  <c r="K298" i="383"/>
  <c r="J298" i="383"/>
  <c r="I298" i="383"/>
  <c r="H298" i="383"/>
  <c r="G298" i="383"/>
  <c r="F298" i="383"/>
  <c r="E298" i="383"/>
  <c r="M297" i="383"/>
  <c r="L297" i="383"/>
  <c r="K297" i="383"/>
  <c r="J297" i="383"/>
  <c r="I297" i="383"/>
  <c r="H297" i="383"/>
  <c r="G297" i="383"/>
  <c r="F297" i="383"/>
  <c r="E297" i="383"/>
  <c r="M296" i="383"/>
  <c r="L296" i="383"/>
  <c r="K296" i="383"/>
  <c r="J296" i="383"/>
  <c r="I296" i="383"/>
  <c r="H296" i="383"/>
  <c r="G296" i="383"/>
  <c r="F296" i="383"/>
  <c r="E296" i="383"/>
  <c r="M295" i="383"/>
  <c r="L295" i="383"/>
  <c r="K295" i="383"/>
  <c r="J295" i="383"/>
  <c r="I295" i="383"/>
  <c r="H295" i="383"/>
  <c r="G295" i="383"/>
  <c r="F295" i="383"/>
  <c r="E295" i="383"/>
  <c r="M294" i="383"/>
  <c r="L294" i="383"/>
  <c r="K294" i="383"/>
  <c r="J294" i="383"/>
  <c r="I294" i="383"/>
  <c r="H294" i="383"/>
  <c r="G294" i="383"/>
  <c r="F294" i="383"/>
  <c r="E294" i="383"/>
  <c r="M293" i="383"/>
  <c r="L293" i="383"/>
  <c r="K293" i="383"/>
  <c r="J293" i="383"/>
  <c r="I293" i="383"/>
  <c r="H293" i="383"/>
  <c r="G293" i="383"/>
  <c r="F293" i="383"/>
  <c r="E293" i="383"/>
  <c r="M292" i="383"/>
  <c r="L292" i="383"/>
  <c r="K292" i="383"/>
  <c r="J292" i="383"/>
  <c r="I292" i="383"/>
  <c r="H292" i="383"/>
  <c r="G292" i="383"/>
  <c r="F292" i="383"/>
  <c r="E292" i="383"/>
  <c r="M291" i="383"/>
  <c r="L291" i="383"/>
  <c r="K291" i="383"/>
  <c r="J291" i="383"/>
  <c r="I291" i="383"/>
  <c r="H291" i="383"/>
  <c r="G291" i="383"/>
  <c r="F291" i="383"/>
  <c r="E291" i="383"/>
  <c r="M290" i="383"/>
  <c r="L290" i="383"/>
  <c r="K290" i="383"/>
  <c r="J290" i="383"/>
  <c r="I290" i="383"/>
  <c r="H290" i="383"/>
  <c r="G290" i="383"/>
  <c r="F290" i="383"/>
  <c r="E290" i="383"/>
  <c r="M289" i="383"/>
  <c r="L289" i="383"/>
  <c r="K289" i="383"/>
  <c r="J289" i="383"/>
  <c r="I289" i="383"/>
  <c r="H289" i="383"/>
  <c r="G289" i="383"/>
  <c r="F289" i="383"/>
  <c r="E289" i="383"/>
  <c r="M288" i="383"/>
  <c r="L288" i="383"/>
  <c r="K288" i="383"/>
  <c r="J288" i="383"/>
  <c r="I288" i="383"/>
  <c r="H288" i="383"/>
  <c r="G288" i="383"/>
  <c r="F288" i="383"/>
  <c r="E288" i="383"/>
  <c r="M287" i="383"/>
  <c r="L287" i="383"/>
  <c r="K287" i="383"/>
  <c r="J287" i="383"/>
  <c r="I287" i="383"/>
  <c r="H287" i="383"/>
  <c r="G287" i="383"/>
  <c r="F287" i="383"/>
  <c r="E287" i="383"/>
  <c r="M286" i="383"/>
  <c r="L286" i="383"/>
  <c r="K286" i="383"/>
  <c r="J286" i="383"/>
  <c r="I286" i="383"/>
  <c r="H286" i="383"/>
  <c r="G286" i="383"/>
  <c r="F286" i="383"/>
  <c r="E286" i="383"/>
  <c r="M285" i="383"/>
  <c r="L285" i="383"/>
  <c r="K285" i="383"/>
  <c r="J285" i="383"/>
  <c r="I285" i="383"/>
  <c r="H285" i="383"/>
  <c r="G285" i="383"/>
  <c r="F285" i="383"/>
  <c r="E285" i="383"/>
  <c r="M284" i="383"/>
  <c r="L284" i="383"/>
  <c r="K284" i="383"/>
  <c r="J284" i="383"/>
  <c r="I284" i="383"/>
  <c r="H284" i="383"/>
  <c r="G284" i="383"/>
  <c r="F284" i="383"/>
  <c r="E284" i="383"/>
  <c r="M283" i="383"/>
  <c r="L283" i="383"/>
  <c r="K283" i="383"/>
  <c r="J283" i="383"/>
  <c r="I283" i="383"/>
  <c r="H283" i="383"/>
  <c r="G283" i="383"/>
  <c r="F283" i="383"/>
  <c r="E283" i="383"/>
  <c r="M282" i="383"/>
  <c r="L282" i="383"/>
  <c r="K282" i="383"/>
  <c r="J282" i="383"/>
  <c r="I282" i="383"/>
  <c r="H282" i="383"/>
  <c r="G282" i="383"/>
  <c r="F282" i="383"/>
  <c r="E282" i="383"/>
  <c r="M281" i="383"/>
  <c r="L281" i="383"/>
  <c r="K281" i="383"/>
  <c r="J281" i="383"/>
  <c r="I281" i="383"/>
  <c r="H281" i="383"/>
  <c r="G281" i="383"/>
  <c r="F281" i="383"/>
  <c r="E281" i="383"/>
  <c r="M280" i="383"/>
  <c r="L280" i="383"/>
  <c r="K280" i="383"/>
  <c r="J280" i="383"/>
  <c r="I280" i="383"/>
  <c r="H280" i="383"/>
  <c r="G280" i="383"/>
  <c r="F280" i="383"/>
  <c r="E280" i="383"/>
  <c r="M279" i="383"/>
  <c r="L279" i="383"/>
  <c r="K279" i="383"/>
  <c r="J279" i="383"/>
  <c r="I279" i="383"/>
  <c r="H279" i="383"/>
  <c r="G279" i="383"/>
  <c r="F279" i="383"/>
  <c r="E279" i="383"/>
  <c r="M278" i="383"/>
  <c r="L278" i="383"/>
  <c r="K278" i="383"/>
  <c r="J278" i="383"/>
  <c r="I278" i="383"/>
  <c r="H278" i="383"/>
  <c r="G278" i="383"/>
  <c r="F278" i="383"/>
  <c r="E278" i="383"/>
  <c r="M277" i="383"/>
  <c r="L277" i="383"/>
  <c r="K277" i="383"/>
  <c r="J277" i="383"/>
  <c r="I277" i="383"/>
  <c r="H277" i="383"/>
  <c r="G277" i="383"/>
  <c r="F277" i="383"/>
  <c r="E277" i="383"/>
  <c r="M276" i="383"/>
  <c r="L276" i="383"/>
  <c r="K276" i="383"/>
  <c r="J276" i="383"/>
  <c r="I276" i="383"/>
  <c r="H276" i="383"/>
  <c r="G276" i="383"/>
  <c r="F276" i="383"/>
  <c r="E276" i="383"/>
  <c r="M275" i="383"/>
  <c r="L275" i="383"/>
  <c r="K275" i="383"/>
  <c r="J275" i="383"/>
  <c r="I275" i="383"/>
  <c r="H275" i="383"/>
  <c r="G275" i="383"/>
  <c r="F275" i="383"/>
  <c r="E275" i="383"/>
  <c r="M274" i="383"/>
  <c r="L274" i="383"/>
  <c r="K274" i="383"/>
  <c r="J274" i="383"/>
  <c r="I274" i="383"/>
  <c r="H274" i="383"/>
  <c r="G274" i="383"/>
  <c r="F274" i="383"/>
  <c r="E274" i="383"/>
  <c r="M273" i="383"/>
  <c r="L273" i="383"/>
  <c r="K273" i="383"/>
  <c r="J273" i="383"/>
  <c r="I273" i="383"/>
  <c r="H273" i="383"/>
  <c r="G273" i="383"/>
  <c r="F273" i="383"/>
  <c r="E273" i="383"/>
  <c r="M272" i="383"/>
  <c r="L272" i="383"/>
  <c r="K272" i="383"/>
  <c r="J272" i="383"/>
  <c r="I272" i="383"/>
  <c r="H272" i="383"/>
  <c r="G272" i="383"/>
  <c r="F272" i="383"/>
  <c r="E272" i="383"/>
  <c r="M271" i="383"/>
  <c r="L271" i="383"/>
  <c r="K271" i="383"/>
  <c r="J271" i="383"/>
  <c r="I271" i="383"/>
  <c r="H271" i="383"/>
  <c r="G271" i="383"/>
  <c r="F271" i="383"/>
  <c r="E271" i="383"/>
  <c r="M270" i="383"/>
  <c r="L270" i="383"/>
  <c r="K270" i="383"/>
  <c r="J270" i="383"/>
  <c r="I270" i="383"/>
  <c r="H270" i="383"/>
  <c r="G270" i="383"/>
  <c r="F270" i="383"/>
  <c r="E270" i="383"/>
  <c r="M269" i="383"/>
  <c r="L269" i="383"/>
  <c r="K269" i="383"/>
  <c r="J269" i="383"/>
  <c r="I269" i="383"/>
  <c r="H269" i="383"/>
  <c r="G269" i="383"/>
  <c r="F269" i="383"/>
  <c r="E269" i="383"/>
  <c r="M268" i="383"/>
  <c r="L268" i="383"/>
  <c r="K268" i="383"/>
  <c r="J268" i="383"/>
  <c r="I268" i="383"/>
  <c r="H268" i="383"/>
  <c r="G268" i="383"/>
  <c r="F268" i="383"/>
  <c r="E268" i="383"/>
  <c r="M267" i="383"/>
  <c r="L267" i="383"/>
  <c r="K267" i="383"/>
  <c r="J267" i="383"/>
  <c r="I267" i="383"/>
  <c r="H267" i="383"/>
  <c r="G267" i="383"/>
  <c r="F267" i="383"/>
  <c r="E267" i="383"/>
  <c r="M266" i="383"/>
  <c r="L266" i="383"/>
  <c r="K266" i="383"/>
  <c r="J266" i="383"/>
  <c r="I266" i="383"/>
  <c r="H266" i="383"/>
  <c r="G266" i="383"/>
  <c r="F266" i="383"/>
  <c r="E266" i="383"/>
  <c r="M265" i="383"/>
  <c r="L265" i="383"/>
  <c r="K265" i="383"/>
  <c r="J265" i="383"/>
  <c r="I265" i="383"/>
  <c r="H265" i="383"/>
  <c r="G265" i="383"/>
  <c r="F265" i="383"/>
  <c r="E265" i="383"/>
  <c r="M264" i="383"/>
  <c r="L264" i="383"/>
  <c r="K264" i="383"/>
  <c r="J264" i="383"/>
  <c r="I264" i="383"/>
  <c r="H264" i="383"/>
  <c r="G264" i="383"/>
  <c r="F264" i="383"/>
  <c r="E264" i="383"/>
  <c r="M263" i="383"/>
  <c r="L263" i="383"/>
  <c r="K263" i="383"/>
  <c r="J263" i="383"/>
  <c r="I263" i="383"/>
  <c r="H263" i="383"/>
  <c r="G263" i="383"/>
  <c r="F263" i="383"/>
  <c r="E263" i="383"/>
  <c r="M262" i="383"/>
  <c r="L262" i="383"/>
  <c r="K262" i="383"/>
  <c r="J262" i="383"/>
  <c r="I262" i="383"/>
  <c r="H262" i="383"/>
  <c r="G262" i="383"/>
  <c r="F262" i="383"/>
  <c r="E262" i="383"/>
  <c r="M261" i="383"/>
  <c r="L261" i="383"/>
  <c r="K261" i="383"/>
  <c r="J261" i="383"/>
  <c r="I261" i="383"/>
  <c r="H261" i="383"/>
  <c r="G261" i="383"/>
  <c r="F261" i="383"/>
  <c r="E261" i="383"/>
  <c r="M260" i="383"/>
  <c r="L260" i="383"/>
  <c r="K260" i="383"/>
  <c r="J260" i="383"/>
  <c r="I260" i="383"/>
  <c r="H260" i="383"/>
  <c r="G260" i="383"/>
  <c r="F260" i="383"/>
  <c r="E260" i="383"/>
  <c r="M259" i="383"/>
  <c r="L259" i="383"/>
  <c r="K259" i="383"/>
  <c r="J259" i="383"/>
  <c r="I259" i="383"/>
  <c r="H259" i="383"/>
  <c r="G259" i="383"/>
  <c r="F259" i="383"/>
  <c r="E259" i="383"/>
  <c r="M258" i="383"/>
  <c r="L258" i="383"/>
  <c r="K258" i="383"/>
  <c r="J258" i="383"/>
  <c r="I258" i="383"/>
  <c r="H258" i="383"/>
  <c r="G258" i="383"/>
  <c r="F258" i="383"/>
  <c r="E258" i="383"/>
  <c r="M257" i="383"/>
  <c r="L257" i="383"/>
  <c r="K257" i="383"/>
  <c r="J257" i="383"/>
  <c r="I257" i="383"/>
  <c r="H257" i="383"/>
  <c r="G257" i="383"/>
  <c r="F257" i="383"/>
  <c r="E257" i="383"/>
  <c r="M256" i="383"/>
  <c r="L256" i="383"/>
  <c r="K256" i="383"/>
  <c r="J256" i="383"/>
  <c r="I256" i="383"/>
  <c r="H256" i="383"/>
  <c r="G256" i="383"/>
  <c r="F256" i="383"/>
  <c r="E256" i="383"/>
  <c r="M255" i="383"/>
  <c r="L255" i="383"/>
  <c r="K255" i="383"/>
  <c r="J255" i="383"/>
  <c r="I255" i="383"/>
  <c r="H255" i="383"/>
  <c r="G255" i="383"/>
  <c r="F255" i="383"/>
  <c r="E255" i="383"/>
  <c r="M254" i="383"/>
  <c r="L254" i="383"/>
  <c r="K254" i="383"/>
  <c r="J254" i="383"/>
  <c r="I254" i="383"/>
  <c r="H254" i="383"/>
  <c r="G254" i="383"/>
  <c r="F254" i="383"/>
  <c r="E254" i="383"/>
  <c r="M253" i="383"/>
  <c r="L253" i="383"/>
  <c r="K253" i="383"/>
  <c r="J253" i="383"/>
  <c r="I253" i="383"/>
  <c r="H253" i="383"/>
  <c r="G253" i="383"/>
  <c r="F253" i="383"/>
  <c r="E253" i="383"/>
  <c r="M252" i="383"/>
  <c r="L252" i="383"/>
  <c r="K252" i="383"/>
  <c r="J252" i="383"/>
  <c r="I252" i="383"/>
  <c r="H252" i="383"/>
  <c r="G252" i="383"/>
  <c r="F252" i="383"/>
  <c r="E252" i="383"/>
  <c r="M251" i="383"/>
  <c r="L251" i="383"/>
  <c r="K251" i="383"/>
  <c r="J251" i="383"/>
  <c r="I251" i="383"/>
  <c r="H251" i="383"/>
  <c r="G251" i="383"/>
  <c r="F251" i="383"/>
  <c r="E251" i="383"/>
  <c r="M250" i="383"/>
  <c r="L250" i="383"/>
  <c r="K250" i="383"/>
  <c r="J250" i="383"/>
  <c r="I250" i="383"/>
  <c r="H250" i="383"/>
  <c r="G250" i="383"/>
  <c r="F250" i="383"/>
  <c r="E250" i="383"/>
  <c r="M249" i="383"/>
  <c r="L249" i="383"/>
  <c r="K249" i="383"/>
  <c r="J249" i="383"/>
  <c r="I249" i="383"/>
  <c r="H249" i="383"/>
  <c r="G249" i="383"/>
  <c r="F249" i="383"/>
  <c r="E249" i="383"/>
  <c r="M248" i="383"/>
  <c r="L248" i="383"/>
  <c r="K248" i="383"/>
  <c r="J248" i="383"/>
  <c r="I248" i="383"/>
  <c r="H248" i="383"/>
  <c r="G248" i="383"/>
  <c r="F248" i="383"/>
  <c r="E248" i="383"/>
  <c r="M247" i="383"/>
  <c r="L247" i="383"/>
  <c r="K247" i="383"/>
  <c r="J247" i="383"/>
  <c r="I247" i="383"/>
  <c r="H247" i="383"/>
  <c r="G247" i="383"/>
  <c r="F247" i="383"/>
  <c r="E247" i="383"/>
  <c r="M246" i="383"/>
  <c r="L246" i="383"/>
  <c r="K246" i="383"/>
  <c r="J246" i="383"/>
  <c r="I246" i="383"/>
  <c r="H246" i="383"/>
  <c r="G246" i="383"/>
  <c r="F246" i="383"/>
  <c r="E246" i="383"/>
  <c r="M245" i="383"/>
  <c r="L245" i="383"/>
  <c r="K245" i="383"/>
  <c r="J245" i="383"/>
  <c r="I245" i="383"/>
  <c r="H245" i="383"/>
  <c r="G245" i="383"/>
  <c r="F245" i="383"/>
  <c r="E245" i="383"/>
  <c r="M244" i="383"/>
  <c r="L244" i="383"/>
  <c r="K244" i="383"/>
  <c r="J244" i="383"/>
  <c r="I244" i="383"/>
  <c r="H244" i="383"/>
  <c r="G244" i="383"/>
  <c r="F244" i="383"/>
  <c r="E244" i="383"/>
  <c r="M243" i="383"/>
  <c r="L243" i="383"/>
  <c r="K243" i="383"/>
  <c r="J243" i="383"/>
  <c r="I243" i="383"/>
  <c r="H243" i="383"/>
  <c r="G243" i="383"/>
  <c r="F243" i="383"/>
  <c r="E243" i="383"/>
  <c r="M242" i="383"/>
  <c r="L242" i="383"/>
  <c r="K242" i="383"/>
  <c r="J242" i="383"/>
  <c r="I242" i="383"/>
  <c r="H242" i="383"/>
  <c r="G242" i="383"/>
  <c r="F242" i="383"/>
  <c r="E242" i="383"/>
  <c r="M241" i="383"/>
  <c r="L241" i="383"/>
  <c r="K241" i="383"/>
  <c r="J241" i="383"/>
  <c r="I241" i="383"/>
  <c r="H241" i="383"/>
  <c r="G241" i="383"/>
  <c r="F241" i="383"/>
  <c r="E241" i="383"/>
  <c r="M240" i="383"/>
  <c r="L240" i="383"/>
  <c r="K240" i="383"/>
  <c r="J240" i="383"/>
  <c r="I240" i="383"/>
  <c r="H240" i="383"/>
  <c r="G240" i="383"/>
  <c r="F240" i="383"/>
  <c r="E240" i="383"/>
  <c r="M239" i="383"/>
  <c r="L239" i="383"/>
  <c r="K239" i="383"/>
  <c r="J239" i="383"/>
  <c r="I239" i="383"/>
  <c r="H239" i="383"/>
  <c r="G239" i="383"/>
  <c r="F239" i="383"/>
  <c r="E239" i="383"/>
  <c r="M238" i="383"/>
  <c r="L238" i="383"/>
  <c r="K238" i="383"/>
  <c r="J238" i="383"/>
  <c r="I238" i="383"/>
  <c r="H238" i="383"/>
  <c r="G238" i="383"/>
  <c r="F238" i="383"/>
  <c r="E238" i="383"/>
  <c r="M237" i="383"/>
  <c r="L237" i="383"/>
  <c r="K237" i="383"/>
  <c r="J237" i="383"/>
  <c r="I237" i="383"/>
  <c r="H237" i="383"/>
  <c r="G237" i="383"/>
  <c r="F237" i="383"/>
  <c r="E237" i="383"/>
  <c r="M236" i="383"/>
  <c r="L236" i="383"/>
  <c r="K236" i="383"/>
  <c r="J236" i="383"/>
  <c r="I236" i="383"/>
  <c r="H236" i="383"/>
  <c r="G236" i="383"/>
  <c r="F236" i="383"/>
  <c r="E236" i="383"/>
  <c r="M235" i="383"/>
  <c r="L235" i="383"/>
  <c r="K235" i="383"/>
  <c r="J235" i="383"/>
  <c r="I235" i="383"/>
  <c r="H235" i="383"/>
  <c r="G235" i="383"/>
  <c r="F235" i="383"/>
  <c r="E235" i="383"/>
  <c r="M234" i="383"/>
  <c r="L234" i="383"/>
  <c r="K234" i="383"/>
  <c r="J234" i="383"/>
  <c r="I234" i="383"/>
  <c r="H234" i="383"/>
  <c r="G234" i="383"/>
  <c r="F234" i="383"/>
  <c r="E234" i="383"/>
  <c r="M233" i="383"/>
  <c r="L233" i="383"/>
  <c r="K233" i="383"/>
  <c r="J233" i="383"/>
  <c r="I233" i="383"/>
  <c r="H233" i="383"/>
  <c r="G233" i="383"/>
  <c r="F233" i="383"/>
  <c r="E233" i="383"/>
  <c r="M232" i="383"/>
  <c r="L232" i="383"/>
  <c r="K232" i="383"/>
  <c r="J232" i="383"/>
  <c r="I232" i="383"/>
  <c r="H232" i="383"/>
  <c r="G232" i="383"/>
  <c r="F232" i="383"/>
  <c r="E232" i="383"/>
  <c r="M231" i="383"/>
  <c r="L231" i="383"/>
  <c r="K231" i="383"/>
  <c r="J231" i="383"/>
  <c r="I231" i="383"/>
  <c r="H231" i="383"/>
  <c r="G231" i="383"/>
  <c r="F231" i="383"/>
  <c r="E231" i="383"/>
  <c r="M230" i="383"/>
  <c r="L230" i="383"/>
  <c r="K230" i="383"/>
  <c r="J230" i="383"/>
  <c r="I230" i="383"/>
  <c r="H230" i="383"/>
  <c r="G230" i="383"/>
  <c r="F230" i="383"/>
  <c r="E230" i="383"/>
  <c r="M229" i="383"/>
  <c r="L229" i="383"/>
  <c r="K229" i="383"/>
  <c r="J229" i="383"/>
  <c r="I229" i="383"/>
  <c r="H229" i="383"/>
  <c r="G229" i="383"/>
  <c r="F229" i="383"/>
  <c r="E229" i="383"/>
  <c r="M228" i="383"/>
  <c r="L228" i="383"/>
  <c r="K228" i="383"/>
  <c r="J228" i="383"/>
  <c r="I228" i="383"/>
  <c r="H228" i="383"/>
  <c r="G228" i="383"/>
  <c r="F228" i="383"/>
  <c r="E228" i="383"/>
  <c r="M227" i="383"/>
  <c r="L227" i="383"/>
  <c r="K227" i="383"/>
  <c r="J227" i="383"/>
  <c r="I227" i="383"/>
  <c r="H227" i="383"/>
  <c r="G227" i="383"/>
  <c r="F227" i="383"/>
  <c r="E227" i="383"/>
  <c r="M226" i="383"/>
  <c r="L226" i="383"/>
  <c r="K226" i="383"/>
  <c r="J226" i="383"/>
  <c r="I226" i="383"/>
  <c r="H226" i="383"/>
  <c r="G226" i="383"/>
  <c r="F226" i="383"/>
  <c r="E226" i="383"/>
  <c r="M225" i="383"/>
  <c r="L225" i="383"/>
  <c r="K225" i="383"/>
  <c r="J225" i="383"/>
  <c r="I225" i="383"/>
  <c r="H225" i="383"/>
  <c r="G225" i="383"/>
  <c r="F225" i="383"/>
  <c r="E225" i="383"/>
  <c r="M224" i="383"/>
  <c r="L224" i="383"/>
  <c r="K224" i="383"/>
  <c r="J224" i="383"/>
  <c r="I224" i="383"/>
  <c r="H224" i="383"/>
  <c r="G224" i="383"/>
  <c r="F224" i="383"/>
  <c r="E224" i="383"/>
  <c r="M223" i="383"/>
  <c r="L223" i="383"/>
  <c r="K223" i="383"/>
  <c r="J223" i="383"/>
  <c r="I223" i="383"/>
  <c r="H223" i="383"/>
  <c r="G223" i="383"/>
  <c r="F223" i="383"/>
  <c r="E223" i="383"/>
  <c r="M222" i="383"/>
  <c r="L222" i="383"/>
  <c r="K222" i="383"/>
  <c r="J222" i="383"/>
  <c r="I222" i="383"/>
  <c r="H222" i="383"/>
  <c r="G222" i="383"/>
  <c r="F222" i="383"/>
  <c r="E222" i="383"/>
  <c r="M221" i="383"/>
  <c r="L221" i="383"/>
  <c r="K221" i="383"/>
  <c r="J221" i="383"/>
  <c r="I221" i="383"/>
  <c r="H221" i="383"/>
  <c r="G221" i="383"/>
  <c r="F221" i="383"/>
  <c r="E221" i="383"/>
  <c r="M220" i="383"/>
  <c r="L220" i="383"/>
  <c r="K220" i="383"/>
  <c r="J220" i="383"/>
  <c r="I220" i="383"/>
  <c r="H220" i="383"/>
  <c r="G220" i="383"/>
  <c r="F220" i="383"/>
  <c r="E220" i="383"/>
  <c r="M219" i="383"/>
  <c r="L219" i="383"/>
  <c r="K219" i="383"/>
  <c r="J219" i="383"/>
  <c r="I219" i="383"/>
  <c r="H219" i="383"/>
  <c r="G219" i="383"/>
  <c r="F219" i="383"/>
  <c r="E219" i="383"/>
  <c r="M218" i="383"/>
  <c r="L218" i="383"/>
  <c r="K218" i="383"/>
  <c r="J218" i="383"/>
  <c r="I218" i="383"/>
  <c r="H218" i="383"/>
  <c r="G218" i="383"/>
  <c r="F218" i="383"/>
  <c r="E218" i="383"/>
  <c r="M217" i="383"/>
  <c r="L217" i="383"/>
  <c r="K217" i="383"/>
  <c r="J217" i="383"/>
  <c r="I217" i="383"/>
  <c r="H217" i="383"/>
  <c r="G217" i="383"/>
  <c r="F217" i="383"/>
  <c r="E217" i="383"/>
  <c r="M216" i="383"/>
  <c r="L216" i="383"/>
  <c r="K216" i="383"/>
  <c r="J216" i="383"/>
  <c r="I216" i="383"/>
  <c r="H216" i="383"/>
  <c r="G216" i="383"/>
  <c r="F216" i="383"/>
  <c r="E216" i="383"/>
  <c r="M215" i="383"/>
  <c r="L215" i="383"/>
  <c r="K215" i="383"/>
  <c r="J215" i="383"/>
  <c r="I215" i="383"/>
  <c r="H215" i="383"/>
  <c r="G215" i="383"/>
  <c r="F215" i="383"/>
  <c r="E215" i="383"/>
  <c r="M214" i="383"/>
  <c r="L214" i="383"/>
  <c r="K214" i="383"/>
  <c r="J214" i="383"/>
  <c r="I214" i="383"/>
  <c r="H214" i="383"/>
  <c r="G214" i="383"/>
  <c r="F214" i="383"/>
  <c r="E214" i="383"/>
  <c r="M213" i="383"/>
  <c r="L213" i="383"/>
  <c r="K213" i="383"/>
  <c r="J213" i="383"/>
  <c r="I213" i="383"/>
  <c r="H213" i="383"/>
  <c r="G213" i="383"/>
  <c r="F213" i="383"/>
  <c r="E213" i="383"/>
  <c r="M212" i="383"/>
  <c r="L212" i="383"/>
  <c r="K212" i="383"/>
  <c r="J212" i="383"/>
  <c r="I212" i="383"/>
  <c r="H212" i="383"/>
  <c r="G212" i="383"/>
  <c r="F212" i="383"/>
  <c r="E212" i="383"/>
  <c r="M211" i="383"/>
  <c r="L211" i="383"/>
  <c r="K211" i="383"/>
  <c r="J211" i="383"/>
  <c r="I211" i="383"/>
  <c r="H211" i="383"/>
  <c r="G211" i="383"/>
  <c r="F211" i="383"/>
  <c r="E211" i="383"/>
  <c r="M210" i="383"/>
  <c r="L210" i="383"/>
  <c r="K210" i="383"/>
  <c r="J210" i="383"/>
  <c r="I210" i="383"/>
  <c r="H210" i="383"/>
  <c r="G210" i="383"/>
  <c r="F210" i="383"/>
  <c r="E210" i="383"/>
  <c r="M209" i="383"/>
  <c r="L209" i="383"/>
  <c r="K209" i="383"/>
  <c r="J209" i="383"/>
  <c r="I209" i="383"/>
  <c r="H209" i="383"/>
  <c r="G209" i="383"/>
  <c r="F209" i="383"/>
  <c r="E209" i="383"/>
  <c r="M208" i="383"/>
  <c r="L208" i="383"/>
  <c r="K208" i="383"/>
  <c r="J208" i="383"/>
  <c r="I208" i="383"/>
  <c r="H208" i="383"/>
  <c r="G208" i="383"/>
  <c r="F208" i="383"/>
  <c r="E208" i="383"/>
  <c r="M207" i="383"/>
  <c r="L207" i="383"/>
  <c r="K207" i="383"/>
  <c r="J207" i="383"/>
  <c r="I207" i="383"/>
  <c r="H207" i="383"/>
  <c r="G207" i="383"/>
  <c r="F207" i="383"/>
  <c r="E207" i="383"/>
  <c r="M206" i="383"/>
  <c r="L206" i="383"/>
  <c r="K206" i="383"/>
  <c r="J206" i="383"/>
  <c r="I206" i="383"/>
  <c r="H206" i="383"/>
  <c r="G206" i="383"/>
  <c r="F206" i="383"/>
  <c r="E206" i="383"/>
  <c r="M205" i="383"/>
  <c r="L205" i="383"/>
  <c r="K205" i="383"/>
  <c r="J205" i="383"/>
  <c r="I205" i="383"/>
  <c r="H205" i="383"/>
  <c r="G205" i="383"/>
  <c r="F205" i="383"/>
  <c r="E205" i="383"/>
  <c r="M204" i="383"/>
  <c r="L204" i="383"/>
  <c r="K204" i="383"/>
  <c r="J204" i="383"/>
  <c r="I204" i="383"/>
  <c r="H204" i="383"/>
  <c r="G204" i="383"/>
  <c r="F204" i="383"/>
  <c r="E204" i="383"/>
  <c r="M203" i="383"/>
  <c r="L203" i="383"/>
  <c r="K203" i="383"/>
  <c r="J203" i="383"/>
  <c r="I203" i="383"/>
  <c r="H203" i="383"/>
  <c r="G203" i="383"/>
  <c r="F203" i="383"/>
  <c r="E203" i="383"/>
  <c r="M202" i="383"/>
  <c r="L202" i="383"/>
  <c r="K202" i="383"/>
  <c r="J202" i="383"/>
  <c r="I202" i="383"/>
  <c r="H202" i="383"/>
  <c r="G202" i="383"/>
  <c r="F202" i="383"/>
  <c r="E202" i="383"/>
  <c r="M201" i="383"/>
  <c r="L201" i="383"/>
  <c r="K201" i="383"/>
  <c r="J201" i="383"/>
  <c r="I201" i="383"/>
  <c r="H201" i="383"/>
  <c r="G201" i="383"/>
  <c r="F201" i="383"/>
  <c r="E201" i="383"/>
  <c r="M200" i="383"/>
  <c r="L200" i="383"/>
  <c r="K200" i="383"/>
  <c r="J200" i="383"/>
  <c r="I200" i="383"/>
  <c r="H200" i="383"/>
  <c r="G200" i="383"/>
  <c r="F200" i="383"/>
  <c r="E200" i="383"/>
  <c r="M199" i="383"/>
  <c r="L199" i="383"/>
  <c r="K199" i="383"/>
  <c r="J199" i="383"/>
  <c r="I199" i="383"/>
  <c r="H199" i="383"/>
  <c r="G199" i="383"/>
  <c r="F199" i="383"/>
  <c r="E199" i="383"/>
  <c r="M198" i="383"/>
  <c r="L198" i="383"/>
  <c r="K198" i="383"/>
  <c r="J198" i="383"/>
  <c r="I198" i="383"/>
  <c r="H198" i="383"/>
  <c r="G198" i="383"/>
  <c r="F198" i="383"/>
  <c r="E198" i="383"/>
  <c r="M197" i="383"/>
  <c r="L197" i="383"/>
  <c r="K197" i="383"/>
  <c r="J197" i="383"/>
  <c r="I197" i="383"/>
  <c r="H197" i="383"/>
  <c r="G197" i="383"/>
  <c r="F197" i="383"/>
  <c r="E197" i="383"/>
  <c r="M196" i="383"/>
  <c r="L196" i="383"/>
  <c r="K196" i="383"/>
  <c r="J196" i="383"/>
  <c r="I196" i="383"/>
  <c r="H196" i="383"/>
  <c r="G196" i="383"/>
  <c r="F196" i="383"/>
  <c r="E196" i="383"/>
  <c r="M195" i="383"/>
  <c r="L195" i="383"/>
  <c r="K195" i="383"/>
  <c r="J195" i="383"/>
  <c r="I195" i="383"/>
  <c r="H195" i="383"/>
  <c r="G195" i="383"/>
  <c r="F195" i="383"/>
  <c r="E195" i="383"/>
  <c r="M194" i="383"/>
  <c r="L194" i="383"/>
  <c r="K194" i="383"/>
  <c r="J194" i="383"/>
  <c r="I194" i="383"/>
  <c r="H194" i="383"/>
  <c r="G194" i="383"/>
  <c r="F194" i="383"/>
  <c r="E194" i="383"/>
  <c r="M193" i="383"/>
  <c r="L193" i="383"/>
  <c r="K193" i="383"/>
  <c r="J193" i="383"/>
  <c r="I193" i="383"/>
  <c r="H193" i="383"/>
  <c r="G193" i="383"/>
  <c r="F193" i="383"/>
  <c r="E193" i="383"/>
  <c r="M192" i="383"/>
  <c r="L192" i="383"/>
  <c r="K192" i="383"/>
  <c r="J192" i="383"/>
  <c r="I192" i="383"/>
  <c r="H192" i="383"/>
  <c r="G192" i="383"/>
  <c r="F192" i="383"/>
  <c r="E192" i="383"/>
  <c r="M191" i="383"/>
  <c r="L191" i="383"/>
  <c r="K191" i="383"/>
  <c r="J191" i="383"/>
  <c r="I191" i="383"/>
  <c r="H191" i="383"/>
  <c r="G191" i="383"/>
  <c r="F191" i="383"/>
  <c r="E191" i="383"/>
  <c r="M190" i="383"/>
  <c r="L190" i="383"/>
  <c r="K190" i="383"/>
  <c r="J190" i="383"/>
  <c r="I190" i="383"/>
  <c r="H190" i="383"/>
  <c r="G190" i="383"/>
  <c r="F190" i="383"/>
  <c r="E190" i="383"/>
  <c r="M189" i="383"/>
  <c r="L189" i="383"/>
  <c r="K189" i="383"/>
  <c r="J189" i="383"/>
  <c r="I189" i="383"/>
  <c r="H189" i="383"/>
  <c r="G189" i="383"/>
  <c r="F189" i="383"/>
  <c r="E189" i="383"/>
  <c r="M188" i="383"/>
  <c r="L188" i="383"/>
  <c r="K188" i="383"/>
  <c r="J188" i="383"/>
  <c r="I188" i="383"/>
  <c r="H188" i="383"/>
  <c r="G188" i="383"/>
  <c r="F188" i="383"/>
  <c r="E188" i="383"/>
  <c r="M187" i="383"/>
  <c r="L187" i="383"/>
  <c r="K187" i="383"/>
  <c r="J187" i="383"/>
  <c r="I187" i="383"/>
  <c r="H187" i="383"/>
  <c r="G187" i="383"/>
  <c r="F187" i="383"/>
  <c r="E187" i="383"/>
  <c r="M186" i="383"/>
  <c r="L186" i="383"/>
  <c r="K186" i="383"/>
  <c r="J186" i="383"/>
  <c r="I186" i="383"/>
  <c r="H186" i="383"/>
  <c r="G186" i="383"/>
  <c r="F186" i="383"/>
  <c r="E186" i="383"/>
  <c r="M185" i="383"/>
  <c r="L185" i="383"/>
  <c r="K185" i="383"/>
  <c r="J185" i="383"/>
  <c r="I185" i="383"/>
  <c r="H185" i="383"/>
  <c r="G185" i="383"/>
  <c r="F185" i="383"/>
  <c r="E185" i="383"/>
  <c r="M184" i="383"/>
  <c r="L184" i="383"/>
  <c r="K184" i="383"/>
  <c r="J184" i="383"/>
  <c r="I184" i="383"/>
  <c r="H184" i="383"/>
  <c r="G184" i="383"/>
  <c r="F184" i="383"/>
  <c r="E184" i="383"/>
  <c r="M183" i="383"/>
  <c r="L183" i="383"/>
  <c r="K183" i="383"/>
  <c r="J183" i="383"/>
  <c r="I183" i="383"/>
  <c r="H183" i="383"/>
  <c r="G183" i="383"/>
  <c r="F183" i="383"/>
  <c r="E183" i="383"/>
  <c r="M182" i="383"/>
  <c r="L182" i="383"/>
  <c r="K182" i="383"/>
  <c r="J182" i="383"/>
  <c r="I182" i="383"/>
  <c r="H182" i="383"/>
  <c r="G182" i="383"/>
  <c r="F182" i="383"/>
  <c r="E182" i="383"/>
  <c r="M181" i="383"/>
  <c r="L181" i="383"/>
  <c r="K181" i="383"/>
  <c r="J181" i="383"/>
  <c r="I181" i="383"/>
  <c r="H181" i="383"/>
  <c r="G181" i="383"/>
  <c r="F181" i="383"/>
  <c r="E181" i="383"/>
  <c r="M180" i="383"/>
  <c r="L180" i="383"/>
  <c r="K180" i="383"/>
  <c r="J180" i="383"/>
  <c r="I180" i="383"/>
  <c r="H180" i="383"/>
  <c r="G180" i="383"/>
  <c r="F180" i="383"/>
  <c r="E180" i="383"/>
  <c r="M179" i="383"/>
  <c r="L179" i="383"/>
  <c r="K179" i="383"/>
  <c r="J179" i="383"/>
  <c r="I179" i="383"/>
  <c r="H179" i="383"/>
  <c r="G179" i="383"/>
  <c r="F179" i="383"/>
  <c r="E179" i="383"/>
  <c r="M178" i="383"/>
  <c r="L178" i="383"/>
  <c r="K178" i="383"/>
  <c r="J178" i="383"/>
  <c r="I178" i="383"/>
  <c r="H178" i="383"/>
  <c r="G178" i="383"/>
  <c r="F178" i="383"/>
  <c r="E178" i="383"/>
  <c r="M177" i="383"/>
  <c r="L177" i="383"/>
  <c r="K177" i="383"/>
  <c r="J177" i="383"/>
  <c r="I177" i="383"/>
  <c r="H177" i="383"/>
  <c r="G177" i="383"/>
  <c r="F177" i="383"/>
  <c r="E177" i="383"/>
  <c r="M176" i="383"/>
  <c r="L176" i="383"/>
  <c r="K176" i="383"/>
  <c r="J176" i="383"/>
  <c r="I176" i="383"/>
  <c r="H176" i="383"/>
  <c r="G176" i="383"/>
  <c r="F176" i="383"/>
  <c r="E176" i="383"/>
  <c r="M175" i="383"/>
  <c r="L175" i="383"/>
  <c r="K175" i="383"/>
  <c r="J175" i="383"/>
  <c r="I175" i="383"/>
  <c r="H175" i="383"/>
  <c r="G175" i="383"/>
  <c r="F175" i="383"/>
  <c r="E175" i="383"/>
  <c r="M174" i="383"/>
  <c r="L174" i="383"/>
  <c r="K174" i="383"/>
  <c r="J174" i="383"/>
  <c r="I174" i="383"/>
  <c r="H174" i="383"/>
  <c r="G174" i="383"/>
  <c r="F174" i="383"/>
  <c r="E174" i="383"/>
  <c r="M173" i="383"/>
  <c r="L173" i="383"/>
  <c r="K173" i="383"/>
  <c r="J173" i="383"/>
  <c r="I173" i="383"/>
  <c r="H173" i="383"/>
  <c r="G173" i="383"/>
  <c r="F173" i="383"/>
  <c r="E173" i="383"/>
  <c r="M172" i="383"/>
  <c r="L172" i="383"/>
  <c r="K172" i="383"/>
  <c r="J172" i="383"/>
  <c r="I172" i="383"/>
  <c r="H172" i="383"/>
  <c r="G172" i="383"/>
  <c r="F172" i="383"/>
  <c r="E172" i="383"/>
  <c r="M171" i="383"/>
  <c r="L171" i="383"/>
  <c r="K171" i="383"/>
  <c r="J171" i="383"/>
  <c r="I171" i="383"/>
  <c r="H171" i="383"/>
  <c r="G171" i="383"/>
  <c r="F171" i="383"/>
  <c r="E171" i="383"/>
  <c r="M170" i="383"/>
  <c r="L170" i="383"/>
  <c r="K170" i="383"/>
  <c r="J170" i="383"/>
  <c r="I170" i="383"/>
  <c r="H170" i="383"/>
  <c r="G170" i="383"/>
  <c r="F170" i="383"/>
  <c r="E170" i="383"/>
  <c r="M169" i="383"/>
  <c r="L169" i="383"/>
  <c r="K169" i="383"/>
  <c r="J169" i="383"/>
  <c r="I169" i="383"/>
  <c r="H169" i="383"/>
  <c r="G169" i="383"/>
  <c r="F169" i="383"/>
  <c r="E169" i="383"/>
  <c r="M168" i="383"/>
  <c r="L168" i="383"/>
  <c r="K168" i="383"/>
  <c r="J168" i="383"/>
  <c r="I168" i="383"/>
  <c r="H168" i="383"/>
  <c r="G168" i="383"/>
  <c r="F168" i="383"/>
  <c r="E168" i="383"/>
  <c r="M167" i="383"/>
  <c r="L167" i="383"/>
  <c r="K167" i="383"/>
  <c r="J167" i="383"/>
  <c r="I167" i="383"/>
  <c r="H167" i="383"/>
  <c r="G167" i="383"/>
  <c r="F167" i="383"/>
  <c r="E167" i="383"/>
  <c r="M166" i="383"/>
  <c r="L166" i="383"/>
  <c r="K166" i="383"/>
  <c r="J166" i="383"/>
  <c r="I166" i="383"/>
  <c r="H166" i="383"/>
  <c r="G166" i="383"/>
  <c r="F166" i="383"/>
  <c r="E166" i="383"/>
  <c r="M165" i="383"/>
  <c r="L165" i="383"/>
  <c r="K165" i="383"/>
  <c r="J165" i="383"/>
  <c r="I165" i="383"/>
  <c r="H165" i="383"/>
  <c r="G165" i="383"/>
  <c r="F165" i="383"/>
  <c r="E165" i="383"/>
  <c r="M164" i="383"/>
  <c r="L164" i="383"/>
  <c r="K164" i="383"/>
  <c r="J164" i="383"/>
  <c r="I164" i="383"/>
  <c r="H164" i="383"/>
  <c r="G164" i="383"/>
  <c r="F164" i="383"/>
  <c r="E164" i="383"/>
  <c r="M163" i="383"/>
  <c r="L163" i="383"/>
  <c r="K163" i="383"/>
  <c r="J163" i="383"/>
  <c r="I163" i="383"/>
  <c r="H163" i="383"/>
  <c r="G163" i="383"/>
  <c r="F163" i="383"/>
  <c r="E163" i="383"/>
  <c r="M162" i="383"/>
  <c r="L162" i="383"/>
  <c r="K162" i="383"/>
  <c r="J162" i="383"/>
  <c r="I162" i="383"/>
  <c r="H162" i="383"/>
  <c r="G162" i="383"/>
  <c r="F162" i="383"/>
  <c r="E162" i="383"/>
  <c r="M161" i="383"/>
  <c r="L161" i="383"/>
  <c r="K161" i="383"/>
  <c r="J161" i="383"/>
  <c r="I161" i="383"/>
  <c r="H161" i="383"/>
  <c r="G161" i="383"/>
  <c r="F161" i="383"/>
  <c r="E161" i="383"/>
  <c r="M160" i="383"/>
  <c r="L160" i="383"/>
  <c r="K160" i="383"/>
  <c r="J160" i="383"/>
  <c r="I160" i="383"/>
  <c r="H160" i="383"/>
  <c r="G160" i="383"/>
  <c r="F160" i="383"/>
  <c r="E160" i="383"/>
  <c r="M159" i="383"/>
  <c r="L159" i="383"/>
  <c r="K159" i="383"/>
  <c r="J159" i="383"/>
  <c r="I159" i="383"/>
  <c r="H159" i="383"/>
  <c r="G159" i="383"/>
  <c r="F159" i="383"/>
  <c r="E159" i="383"/>
  <c r="M158" i="383"/>
  <c r="L158" i="383"/>
  <c r="K158" i="383"/>
  <c r="J158" i="383"/>
  <c r="I158" i="383"/>
  <c r="H158" i="383"/>
  <c r="G158" i="383"/>
  <c r="F158" i="383"/>
  <c r="E158" i="383"/>
  <c r="M157" i="383"/>
  <c r="L157" i="383"/>
  <c r="K157" i="383"/>
  <c r="J157" i="383"/>
  <c r="I157" i="383"/>
  <c r="H157" i="383"/>
  <c r="G157" i="383"/>
  <c r="F157" i="383"/>
  <c r="E157" i="383"/>
  <c r="M156" i="383"/>
  <c r="L156" i="383"/>
  <c r="K156" i="383"/>
  <c r="J156" i="383"/>
  <c r="I156" i="383"/>
  <c r="H156" i="383"/>
  <c r="G156" i="383"/>
  <c r="F156" i="383"/>
  <c r="E156" i="383"/>
  <c r="M155" i="383"/>
  <c r="L155" i="383"/>
  <c r="K155" i="383"/>
  <c r="J155" i="383"/>
  <c r="I155" i="383"/>
  <c r="H155" i="383"/>
  <c r="G155" i="383"/>
  <c r="F155" i="383"/>
  <c r="E155" i="383"/>
  <c r="M154" i="383"/>
  <c r="L154" i="383"/>
  <c r="K154" i="383"/>
  <c r="J154" i="383"/>
  <c r="I154" i="383"/>
  <c r="H154" i="383"/>
  <c r="G154" i="383"/>
  <c r="F154" i="383"/>
  <c r="E154" i="383"/>
  <c r="M153" i="383"/>
  <c r="L153" i="383"/>
  <c r="K153" i="383"/>
  <c r="J153" i="383"/>
  <c r="I153" i="383"/>
  <c r="H153" i="383"/>
  <c r="G153" i="383"/>
  <c r="F153" i="383"/>
  <c r="E153" i="383"/>
  <c r="M152" i="383"/>
  <c r="L152" i="383"/>
  <c r="K152" i="383"/>
  <c r="J152" i="383"/>
  <c r="I152" i="383"/>
  <c r="H152" i="383"/>
  <c r="G152" i="383"/>
  <c r="F152" i="383"/>
  <c r="E152" i="383"/>
  <c r="M151" i="383"/>
  <c r="L151" i="383"/>
  <c r="K151" i="383"/>
  <c r="J151" i="383"/>
  <c r="I151" i="383"/>
  <c r="H151" i="383"/>
  <c r="G151" i="383"/>
  <c r="F151" i="383"/>
  <c r="E151" i="383"/>
  <c r="M150" i="383"/>
  <c r="L150" i="383"/>
  <c r="K150" i="383"/>
  <c r="J150" i="383"/>
  <c r="I150" i="383"/>
  <c r="H150" i="383"/>
  <c r="G150" i="383"/>
  <c r="F150" i="383"/>
  <c r="E150" i="383"/>
  <c r="M149" i="383"/>
  <c r="L149" i="383"/>
  <c r="K149" i="383"/>
  <c r="J149" i="383"/>
  <c r="I149" i="383"/>
  <c r="H149" i="383"/>
  <c r="G149" i="383"/>
  <c r="F149" i="383"/>
  <c r="E149" i="383"/>
  <c r="M148" i="383"/>
  <c r="L148" i="383"/>
  <c r="K148" i="383"/>
  <c r="J148" i="383"/>
  <c r="I148" i="383"/>
  <c r="H148" i="383"/>
  <c r="G148" i="383"/>
  <c r="F148" i="383"/>
  <c r="E148" i="383"/>
  <c r="M147" i="383"/>
  <c r="L147" i="383"/>
  <c r="K147" i="383"/>
  <c r="J147" i="383"/>
  <c r="I147" i="383"/>
  <c r="H147" i="383"/>
  <c r="G147" i="383"/>
  <c r="F147" i="383"/>
  <c r="E147" i="383"/>
  <c r="M146" i="383"/>
  <c r="L146" i="383"/>
  <c r="K146" i="383"/>
  <c r="J146" i="383"/>
  <c r="I146" i="383"/>
  <c r="H146" i="383"/>
  <c r="G146" i="383"/>
  <c r="F146" i="383"/>
  <c r="E146" i="383"/>
  <c r="M145" i="383"/>
  <c r="L145" i="383"/>
  <c r="K145" i="383"/>
  <c r="J145" i="383"/>
  <c r="I145" i="383"/>
  <c r="H145" i="383"/>
  <c r="G145" i="383"/>
  <c r="F145" i="383"/>
  <c r="E145" i="383"/>
  <c r="M144" i="383"/>
  <c r="L144" i="383"/>
  <c r="K144" i="383"/>
  <c r="J144" i="383"/>
  <c r="I144" i="383"/>
  <c r="H144" i="383"/>
  <c r="G144" i="383"/>
  <c r="F144" i="383"/>
  <c r="E144" i="383"/>
  <c r="M143" i="383"/>
  <c r="L143" i="383"/>
  <c r="K143" i="383"/>
  <c r="J143" i="383"/>
  <c r="I143" i="383"/>
  <c r="H143" i="383"/>
  <c r="G143" i="383"/>
  <c r="F143" i="383"/>
  <c r="E143" i="383"/>
  <c r="M142" i="383"/>
  <c r="L142" i="383"/>
  <c r="K142" i="383"/>
  <c r="J142" i="383"/>
  <c r="I142" i="383"/>
  <c r="H142" i="383"/>
  <c r="G142" i="383"/>
  <c r="F142" i="383"/>
  <c r="E142" i="383"/>
  <c r="M141" i="383"/>
  <c r="L141" i="383"/>
  <c r="K141" i="383"/>
  <c r="J141" i="383"/>
  <c r="I141" i="383"/>
  <c r="H141" i="383"/>
  <c r="G141" i="383"/>
  <c r="F141" i="383"/>
  <c r="E141" i="383"/>
  <c r="M140" i="383"/>
  <c r="L140" i="383"/>
  <c r="K140" i="383"/>
  <c r="J140" i="383"/>
  <c r="I140" i="383"/>
  <c r="H140" i="383"/>
  <c r="G140" i="383"/>
  <c r="F140" i="383"/>
  <c r="E140" i="383"/>
  <c r="M139" i="383"/>
  <c r="L139" i="383"/>
  <c r="K139" i="383"/>
  <c r="J139" i="383"/>
  <c r="I139" i="383"/>
  <c r="H139" i="383"/>
  <c r="G139" i="383"/>
  <c r="F139" i="383"/>
  <c r="E139" i="383"/>
  <c r="M138" i="383"/>
  <c r="L138" i="383"/>
  <c r="K138" i="383"/>
  <c r="J138" i="383"/>
  <c r="I138" i="383"/>
  <c r="H138" i="383"/>
  <c r="G138" i="383"/>
  <c r="F138" i="383"/>
  <c r="E138" i="383"/>
  <c r="M137" i="383"/>
  <c r="L137" i="383"/>
  <c r="K137" i="383"/>
  <c r="J137" i="383"/>
  <c r="I137" i="383"/>
  <c r="H137" i="383"/>
  <c r="G137" i="383"/>
  <c r="F137" i="383"/>
  <c r="E137" i="383"/>
  <c r="M136" i="383"/>
  <c r="L136" i="383"/>
  <c r="K136" i="383"/>
  <c r="J136" i="383"/>
  <c r="I136" i="383"/>
  <c r="H136" i="383"/>
  <c r="G136" i="383"/>
  <c r="F136" i="383"/>
  <c r="E136" i="383"/>
  <c r="M135" i="383"/>
  <c r="L135" i="383"/>
  <c r="K135" i="383"/>
  <c r="J135" i="383"/>
  <c r="I135" i="383"/>
  <c r="H135" i="383"/>
  <c r="G135" i="383"/>
  <c r="F135" i="383"/>
  <c r="E135" i="383"/>
  <c r="M134" i="383"/>
  <c r="L134" i="383"/>
  <c r="K134" i="383"/>
  <c r="J134" i="383"/>
  <c r="I134" i="383"/>
  <c r="H134" i="383"/>
  <c r="G134" i="383"/>
  <c r="F134" i="383"/>
  <c r="E134" i="383"/>
  <c r="M133" i="383"/>
  <c r="L133" i="383"/>
  <c r="K133" i="383"/>
  <c r="J133" i="383"/>
  <c r="I133" i="383"/>
  <c r="H133" i="383"/>
  <c r="G133" i="383"/>
  <c r="F133" i="383"/>
  <c r="E133" i="383"/>
  <c r="M132" i="383"/>
  <c r="L132" i="383"/>
  <c r="K132" i="383"/>
  <c r="J132" i="383"/>
  <c r="I132" i="383"/>
  <c r="H132" i="383"/>
  <c r="G132" i="383"/>
  <c r="F132" i="383"/>
  <c r="E132" i="383"/>
  <c r="M131" i="383"/>
  <c r="L131" i="383"/>
  <c r="K131" i="383"/>
  <c r="J131" i="383"/>
  <c r="I131" i="383"/>
  <c r="H131" i="383"/>
  <c r="G131" i="383"/>
  <c r="F131" i="383"/>
  <c r="E131" i="383"/>
  <c r="M130" i="383"/>
  <c r="L130" i="383"/>
  <c r="K130" i="383"/>
  <c r="J130" i="383"/>
  <c r="I130" i="383"/>
  <c r="H130" i="383"/>
  <c r="G130" i="383"/>
  <c r="F130" i="383"/>
  <c r="E130" i="383"/>
  <c r="M129" i="383"/>
  <c r="L129" i="383"/>
  <c r="K129" i="383"/>
  <c r="J129" i="383"/>
  <c r="I129" i="383"/>
  <c r="H129" i="383"/>
  <c r="G129" i="383"/>
  <c r="F129" i="383"/>
  <c r="E129" i="383"/>
  <c r="M128" i="383"/>
  <c r="L128" i="383"/>
  <c r="K128" i="383"/>
  <c r="J128" i="383"/>
  <c r="I128" i="383"/>
  <c r="H128" i="383"/>
  <c r="G128" i="383"/>
  <c r="F128" i="383"/>
  <c r="E128" i="383"/>
  <c r="M127" i="383"/>
  <c r="L127" i="383"/>
  <c r="K127" i="383"/>
  <c r="J127" i="383"/>
  <c r="I127" i="383"/>
  <c r="H127" i="383"/>
  <c r="G127" i="383"/>
  <c r="F127" i="383"/>
  <c r="E127" i="383"/>
  <c r="M126" i="383"/>
  <c r="L126" i="383"/>
  <c r="K126" i="383"/>
  <c r="J126" i="383"/>
  <c r="I126" i="383"/>
  <c r="H126" i="383"/>
  <c r="G126" i="383"/>
  <c r="F126" i="383"/>
  <c r="E126" i="383"/>
  <c r="M125" i="383"/>
  <c r="L125" i="383"/>
  <c r="K125" i="383"/>
  <c r="J125" i="383"/>
  <c r="I125" i="383"/>
  <c r="H125" i="383"/>
  <c r="G125" i="383"/>
  <c r="F125" i="383"/>
  <c r="E125" i="383"/>
  <c r="M124" i="383"/>
  <c r="L124" i="383"/>
  <c r="K124" i="383"/>
  <c r="J124" i="383"/>
  <c r="I124" i="383"/>
  <c r="H124" i="383"/>
  <c r="G124" i="383"/>
  <c r="F124" i="383"/>
  <c r="E124" i="383"/>
  <c r="M123" i="383"/>
  <c r="L123" i="383"/>
  <c r="K123" i="383"/>
  <c r="J123" i="383"/>
  <c r="I123" i="383"/>
  <c r="H123" i="383"/>
  <c r="G123" i="383"/>
  <c r="F123" i="383"/>
  <c r="E123" i="383"/>
  <c r="M122" i="383"/>
  <c r="L122" i="383"/>
  <c r="K122" i="383"/>
  <c r="J122" i="383"/>
  <c r="I122" i="383"/>
  <c r="H122" i="383"/>
  <c r="G122" i="383"/>
  <c r="F122" i="383"/>
  <c r="E122" i="383"/>
  <c r="M121" i="383"/>
  <c r="L121" i="383"/>
  <c r="K121" i="383"/>
  <c r="J121" i="383"/>
  <c r="I121" i="383"/>
  <c r="H121" i="383"/>
  <c r="G121" i="383"/>
  <c r="F121" i="383"/>
  <c r="E121" i="383"/>
  <c r="M120" i="383"/>
  <c r="L120" i="383"/>
  <c r="K120" i="383"/>
  <c r="J120" i="383"/>
  <c r="I120" i="383"/>
  <c r="H120" i="383"/>
  <c r="G120" i="383"/>
  <c r="F120" i="383"/>
  <c r="E120" i="383"/>
  <c r="M119" i="383"/>
  <c r="L119" i="383"/>
  <c r="K119" i="383"/>
  <c r="J119" i="383"/>
  <c r="I119" i="383"/>
  <c r="H119" i="383"/>
  <c r="G119" i="383"/>
  <c r="F119" i="383"/>
  <c r="E119" i="383"/>
  <c r="M118" i="383"/>
  <c r="L118" i="383"/>
  <c r="K118" i="383"/>
  <c r="J118" i="383"/>
  <c r="I118" i="383"/>
  <c r="H118" i="383"/>
  <c r="G118" i="383"/>
  <c r="F118" i="383"/>
  <c r="E118" i="383"/>
  <c r="M117" i="383"/>
  <c r="L117" i="383"/>
  <c r="K117" i="383"/>
  <c r="J117" i="383"/>
  <c r="I117" i="383"/>
  <c r="H117" i="383"/>
  <c r="G117" i="383"/>
  <c r="F117" i="383"/>
  <c r="E117" i="383"/>
  <c r="M116" i="383"/>
  <c r="L116" i="383"/>
  <c r="K116" i="383"/>
  <c r="J116" i="383"/>
  <c r="I116" i="383"/>
  <c r="H116" i="383"/>
  <c r="G116" i="383"/>
  <c r="F116" i="383"/>
  <c r="E116" i="383"/>
  <c r="M115" i="383"/>
  <c r="L115" i="383"/>
  <c r="K115" i="383"/>
  <c r="J115" i="383"/>
  <c r="I115" i="383"/>
  <c r="H115" i="383"/>
  <c r="G115" i="383"/>
  <c r="F115" i="383"/>
  <c r="E115" i="383"/>
  <c r="M114" i="383"/>
  <c r="L114" i="383"/>
  <c r="K114" i="383"/>
  <c r="J114" i="383"/>
  <c r="I114" i="383"/>
  <c r="H114" i="383"/>
  <c r="G114" i="383"/>
  <c r="F114" i="383"/>
  <c r="E114" i="383"/>
  <c r="M113" i="383"/>
  <c r="L113" i="383"/>
  <c r="K113" i="383"/>
  <c r="J113" i="383"/>
  <c r="I113" i="383"/>
  <c r="H113" i="383"/>
  <c r="G113" i="383"/>
  <c r="F113" i="383"/>
  <c r="E113" i="383"/>
  <c r="M112" i="383"/>
  <c r="L112" i="383"/>
  <c r="K112" i="383"/>
  <c r="J112" i="383"/>
  <c r="I112" i="383"/>
  <c r="H112" i="383"/>
  <c r="G112" i="383"/>
  <c r="F112" i="383"/>
  <c r="E112" i="383"/>
  <c r="M111" i="383"/>
  <c r="L111" i="383"/>
  <c r="K111" i="383"/>
  <c r="J111" i="383"/>
  <c r="I111" i="383"/>
  <c r="H111" i="383"/>
  <c r="G111" i="383"/>
  <c r="F111" i="383"/>
  <c r="E111" i="383"/>
  <c r="M110" i="383"/>
  <c r="L110" i="383"/>
  <c r="K110" i="383"/>
  <c r="J110" i="383"/>
  <c r="I110" i="383"/>
  <c r="H110" i="383"/>
  <c r="G110" i="383"/>
  <c r="F110" i="383"/>
  <c r="E110" i="383"/>
  <c r="M109" i="383"/>
  <c r="L109" i="383"/>
  <c r="K109" i="383"/>
  <c r="J109" i="383"/>
  <c r="I109" i="383"/>
  <c r="H109" i="383"/>
  <c r="G109" i="383"/>
  <c r="F109" i="383"/>
  <c r="E109" i="383"/>
  <c r="M108" i="383"/>
  <c r="L108" i="383"/>
  <c r="K108" i="383"/>
  <c r="J108" i="383"/>
  <c r="I108" i="383"/>
  <c r="H108" i="383"/>
  <c r="G108" i="383"/>
  <c r="F108" i="383"/>
  <c r="E108" i="383"/>
  <c r="M107" i="383"/>
  <c r="L107" i="383"/>
  <c r="K107" i="383"/>
  <c r="J107" i="383"/>
  <c r="I107" i="383"/>
  <c r="H107" i="383"/>
  <c r="G107" i="383"/>
  <c r="F107" i="383"/>
  <c r="E107" i="383"/>
  <c r="M106" i="383"/>
  <c r="L106" i="383"/>
  <c r="K106" i="383"/>
  <c r="J106" i="383"/>
  <c r="I106" i="383"/>
  <c r="H106" i="383"/>
  <c r="G106" i="383"/>
  <c r="F106" i="383"/>
  <c r="E106" i="383"/>
  <c r="M105" i="383"/>
  <c r="L105" i="383"/>
  <c r="K105" i="383"/>
  <c r="J105" i="383"/>
  <c r="I105" i="383"/>
  <c r="H105" i="383"/>
  <c r="G105" i="383"/>
  <c r="F105" i="383"/>
  <c r="E105" i="383"/>
  <c r="M104" i="383"/>
  <c r="L104" i="383"/>
  <c r="K104" i="383"/>
  <c r="J104" i="383"/>
  <c r="I104" i="383"/>
  <c r="H104" i="383"/>
  <c r="G104" i="383"/>
  <c r="F104" i="383"/>
  <c r="E104" i="383"/>
  <c r="M103" i="383"/>
  <c r="L103" i="383"/>
  <c r="K103" i="383"/>
  <c r="J103" i="383"/>
  <c r="I103" i="383"/>
  <c r="H103" i="383"/>
  <c r="G103" i="383"/>
  <c r="F103" i="383"/>
  <c r="E103" i="383"/>
  <c r="M102" i="383"/>
  <c r="L102" i="383"/>
  <c r="K102" i="383"/>
  <c r="J102" i="383"/>
  <c r="I102" i="383"/>
  <c r="H102" i="383"/>
  <c r="G102" i="383"/>
  <c r="F102" i="383"/>
  <c r="E102" i="383"/>
  <c r="M101" i="383"/>
  <c r="L101" i="383"/>
  <c r="K101" i="383"/>
  <c r="J101" i="383"/>
  <c r="I101" i="383"/>
  <c r="H101" i="383"/>
  <c r="G101" i="383"/>
  <c r="F101" i="383"/>
  <c r="E101" i="383"/>
  <c r="M100" i="383"/>
  <c r="L100" i="383"/>
  <c r="K100" i="383"/>
  <c r="J100" i="383"/>
  <c r="I100" i="383"/>
  <c r="H100" i="383"/>
  <c r="G100" i="383"/>
  <c r="F100" i="383"/>
  <c r="E100" i="383"/>
  <c r="M99" i="383"/>
  <c r="L99" i="383"/>
  <c r="K99" i="383"/>
  <c r="J99" i="383"/>
  <c r="I99" i="383"/>
  <c r="H99" i="383"/>
  <c r="G99" i="383"/>
  <c r="F99" i="383"/>
  <c r="E99" i="383"/>
  <c r="M98" i="383"/>
  <c r="L98" i="383"/>
  <c r="K98" i="383"/>
  <c r="J98" i="383"/>
  <c r="I98" i="383"/>
  <c r="H98" i="383"/>
  <c r="G98" i="383"/>
  <c r="F98" i="383"/>
  <c r="E98" i="383"/>
  <c r="M97" i="383"/>
  <c r="L97" i="383"/>
  <c r="K97" i="383"/>
  <c r="J97" i="383"/>
  <c r="I97" i="383"/>
  <c r="H97" i="383"/>
  <c r="G97" i="383"/>
  <c r="F97" i="383"/>
  <c r="E97" i="383"/>
  <c r="M96" i="383"/>
  <c r="L96" i="383"/>
  <c r="K96" i="383"/>
  <c r="J96" i="383"/>
  <c r="I96" i="383"/>
  <c r="H96" i="383"/>
  <c r="G96" i="383"/>
  <c r="F96" i="383"/>
  <c r="E96" i="383"/>
  <c r="M95" i="383"/>
  <c r="L95" i="383"/>
  <c r="K95" i="383"/>
  <c r="J95" i="383"/>
  <c r="I95" i="383"/>
  <c r="H95" i="383"/>
  <c r="G95" i="383"/>
  <c r="F95" i="383"/>
  <c r="E95" i="383"/>
  <c r="M94" i="383"/>
  <c r="L94" i="383"/>
  <c r="K94" i="383"/>
  <c r="J94" i="383"/>
  <c r="I94" i="383"/>
  <c r="H94" i="383"/>
  <c r="G94" i="383"/>
  <c r="F94" i="383"/>
  <c r="E94" i="383"/>
  <c r="M93" i="383"/>
  <c r="L93" i="383"/>
  <c r="K93" i="383"/>
  <c r="J93" i="383"/>
  <c r="I93" i="383"/>
  <c r="H93" i="383"/>
  <c r="G93" i="383"/>
  <c r="F93" i="383"/>
  <c r="E93" i="383"/>
  <c r="M92" i="383"/>
  <c r="L92" i="383"/>
  <c r="K92" i="383"/>
  <c r="J92" i="383"/>
  <c r="I92" i="383"/>
  <c r="H92" i="383"/>
  <c r="G92" i="383"/>
  <c r="F92" i="383"/>
  <c r="E92" i="383"/>
  <c r="M91" i="383"/>
  <c r="L91" i="383"/>
  <c r="K91" i="383"/>
  <c r="J91" i="383"/>
  <c r="I91" i="383"/>
  <c r="H91" i="383"/>
  <c r="G91" i="383"/>
  <c r="F91" i="383"/>
  <c r="E91" i="383"/>
  <c r="M90" i="383"/>
  <c r="L90" i="383"/>
  <c r="K90" i="383"/>
  <c r="J90" i="383"/>
  <c r="I90" i="383"/>
  <c r="H90" i="383"/>
  <c r="G90" i="383"/>
  <c r="F90" i="383"/>
  <c r="E90" i="383"/>
  <c r="M89" i="383"/>
  <c r="L89" i="383"/>
  <c r="K89" i="383"/>
  <c r="J89" i="383"/>
  <c r="I89" i="383"/>
  <c r="H89" i="383"/>
  <c r="G89" i="383"/>
  <c r="F89" i="383"/>
  <c r="E89" i="383"/>
  <c r="M88" i="383"/>
  <c r="L88" i="383"/>
  <c r="K88" i="383"/>
  <c r="J88" i="383"/>
  <c r="I88" i="383"/>
  <c r="H88" i="383"/>
  <c r="G88" i="383"/>
  <c r="F88" i="383"/>
  <c r="E88" i="383"/>
  <c r="M87" i="383"/>
  <c r="L87" i="383"/>
  <c r="K87" i="383"/>
  <c r="J87" i="383"/>
  <c r="I87" i="383"/>
  <c r="H87" i="383"/>
  <c r="G87" i="383"/>
  <c r="F87" i="383"/>
  <c r="E87" i="383"/>
  <c r="M86" i="383"/>
  <c r="L86" i="383"/>
  <c r="K86" i="383"/>
  <c r="J86" i="383"/>
  <c r="I86" i="383"/>
  <c r="H86" i="383"/>
  <c r="G86" i="383"/>
  <c r="F86" i="383"/>
  <c r="E86" i="383"/>
  <c r="M85" i="383"/>
  <c r="L85" i="383"/>
  <c r="K85" i="383"/>
  <c r="J85" i="383"/>
  <c r="I85" i="383"/>
  <c r="H85" i="383"/>
  <c r="G85" i="383"/>
  <c r="F85" i="383"/>
  <c r="E85" i="383"/>
  <c r="M84" i="383"/>
  <c r="L84" i="383"/>
  <c r="K84" i="383"/>
  <c r="J84" i="383"/>
  <c r="I84" i="383"/>
  <c r="H84" i="383"/>
  <c r="G84" i="383"/>
  <c r="F84" i="383"/>
  <c r="E84" i="383"/>
  <c r="M83" i="383"/>
  <c r="L83" i="383"/>
  <c r="K83" i="383"/>
  <c r="J83" i="383"/>
  <c r="I83" i="383"/>
  <c r="H83" i="383"/>
  <c r="G83" i="383"/>
  <c r="F83" i="383"/>
  <c r="E83" i="383"/>
  <c r="M82" i="383"/>
  <c r="L82" i="383"/>
  <c r="K82" i="383"/>
  <c r="J82" i="383"/>
  <c r="I82" i="383"/>
  <c r="H82" i="383"/>
  <c r="G82" i="383"/>
  <c r="F82" i="383"/>
  <c r="E82" i="383"/>
  <c r="M81" i="383"/>
  <c r="L81" i="383"/>
  <c r="K81" i="383"/>
  <c r="J81" i="383"/>
  <c r="I81" i="383"/>
  <c r="H81" i="383"/>
  <c r="G81" i="383"/>
  <c r="F81" i="383"/>
  <c r="E81" i="383"/>
  <c r="M80" i="383"/>
  <c r="L80" i="383"/>
  <c r="K80" i="383"/>
  <c r="J80" i="383"/>
  <c r="I80" i="383"/>
  <c r="H80" i="383"/>
  <c r="G80" i="383"/>
  <c r="F80" i="383"/>
  <c r="E80" i="383"/>
  <c r="M79" i="383"/>
  <c r="L79" i="383"/>
  <c r="K79" i="383"/>
  <c r="J79" i="383"/>
  <c r="I79" i="383"/>
  <c r="H79" i="383"/>
  <c r="G79" i="383"/>
  <c r="F79" i="383"/>
  <c r="E79" i="383"/>
  <c r="M78" i="383"/>
  <c r="L78" i="383"/>
  <c r="K78" i="383"/>
  <c r="J78" i="383"/>
  <c r="I78" i="383"/>
  <c r="H78" i="383"/>
  <c r="G78" i="383"/>
  <c r="F78" i="383"/>
  <c r="E78" i="383"/>
  <c r="M77" i="383"/>
  <c r="L77" i="383"/>
  <c r="K77" i="383"/>
  <c r="J77" i="383"/>
  <c r="I77" i="383"/>
  <c r="H77" i="383"/>
  <c r="G77" i="383"/>
  <c r="F77" i="383"/>
  <c r="E77" i="383"/>
  <c r="M76" i="383"/>
  <c r="L76" i="383"/>
  <c r="K76" i="383"/>
  <c r="J76" i="383"/>
  <c r="I76" i="383"/>
  <c r="H76" i="383"/>
  <c r="G76" i="383"/>
  <c r="F76" i="383"/>
  <c r="E76" i="383"/>
  <c r="M75" i="383"/>
  <c r="L75" i="383"/>
  <c r="K75" i="383"/>
  <c r="J75" i="383"/>
  <c r="I75" i="383"/>
  <c r="H75" i="383"/>
  <c r="G75" i="383"/>
  <c r="F75" i="383"/>
  <c r="E75" i="383"/>
  <c r="M74" i="383"/>
  <c r="L74" i="383"/>
  <c r="K74" i="383"/>
  <c r="J74" i="383"/>
  <c r="I74" i="383"/>
  <c r="H74" i="383"/>
  <c r="G74" i="383"/>
  <c r="F74" i="383"/>
  <c r="E74" i="383"/>
  <c r="M73" i="383"/>
  <c r="L73" i="383"/>
  <c r="K73" i="383"/>
  <c r="J73" i="383"/>
  <c r="I73" i="383"/>
  <c r="H73" i="383"/>
  <c r="G73" i="383"/>
  <c r="F73" i="383"/>
  <c r="E73" i="383"/>
  <c r="M72" i="383"/>
  <c r="L72" i="383"/>
  <c r="K72" i="383"/>
  <c r="J72" i="383"/>
  <c r="I72" i="383"/>
  <c r="H72" i="383"/>
  <c r="G72" i="383"/>
  <c r="F72" i="383"/>
  <c r="E72" i="383"/>
  <c r="M71" i="383"/>
  <c r="L71" i="383"/>
  <c r="K71" i="383"/>
  <c r="J71" i="383"/>
  <c r="I71" i="383"/>
  <c r="H71" i="383"/>
  <c r="G71" i="383"/>
  <c r="F71" i="383"/>
  <c r="E71" i="383"/>
  <c r="M70" i="383"/>
  <c r="L70" i="383"/>
  <c r="K70" i="383"/>
  <c r="J70" i="383"/>
  <c r="I70" i="383"/>
  <c r="H70" i="383"/>
  <c r="G70" i="383"/>
  <c r="F70" i="383"/>
  <c r="E70" i="383"/>
  <c r="M69" i="383"/>
  <c r="L69" i="383"/>
  <c r="K69" i="383"/>
  <c r="J69" i="383"/>
  <c r="I69" i="383"/>
  <c r="H69" i="383"/>
  <c r="G69" i="383"/>
  <c r="F69" i="383"/>
  <c r="E69" i="383"/>
  <c r="M68" i="383"/>
  <c r="L68" i="383"/>
  <c r="K68" i="383"/>
  <c r="J68" i="383"/>
  <c r="I68" i="383"/>
  <c r="H68" i="383"/>
  <c r="G68" i="383"/>
  <c r="F68" i="383"/>
  <c r="E68" i="383"/>
  <c r="M67" i="383"/>
  <c r="L67" i="383"/>
  <c r="K67" i="383"/>
  <c r="J67" i="383"/>
  <c r="I67" i="383"/>
  <c r="H67" i="383"/>
  <c r="G67" i="383"/>
  <c r="F67" i="383"/>
  <c r="E67" i="383"/>
  <c r="M66" i="383"/>
  <c r="L66" i="383"/>
  <c r="K66" i="383"/>
  <c r="J66" i="383"/>
  <c r="I66" i="383"/>
  <c r="H66" i="383"/>
  <c r="G66" i="383"/>
  <c r="F66" i="383"/>
  <c r="E66" i="383"/>
  <c r="M65" i="383"/>
  <c r="L65" i="383"/>
  <c r="K65" i="383"/>
  <c r="J65" i="383"/>
  <c r="I65" i="383"/>
  <c r="H65" i="383"/>
  <c r="G65" i="383"/>
  <c r="F65" i="383"/>
  <c r="E65" i="383"/>
  <c r="M64" i="383"/>
  <c r="L64" i="383"/>
  <c r="K64" i="383"/>
  <c r="J64" i="383"/>
  <c r="I64" i="383"/>
  <c r="H64" i="383"/>
  <c r="G64" i="383"/>
  <c r="F64" i="383"/>
  <c r="E64" i="383"/>
  <c r="M63" i="383"/>
  <c r="L63" i="383"/>
  <c r="K63" i="383"/>
  <c r="J63" i="383"/>
  <c r="I63" i="383"/>
  <c r="H63" i="383"/>
  <c r="G63" i="383"/>
  <c r="F63" i="383"/>
  <c r="E63" i="383"/>
  <c r="M62" i="383"/>
  <c r="L62" i="383"/>
  <c r="K62" i="383"/>
  <c r="J62" i="383"/>
  <c r="I62" i="383"/>
  <c r="H62" i="383"/>
  <c r="G62" i="383"/>
  <c r="F62" i="383"/>
  <c r="E62" i="383"/>
  <c r="M61" i="383"/>
  <c r="L61" i="383"/>
  <c r="K61" i="383"/>
  <c r="J61" i="383"/>
  <c r="I61" i="383"/>
  <c r="H61" i="383"/>
  <c r="G61" i="383"/>
  <c r="F61" i="383"/>
  <c r="E61" i="383"/>
  <c r="M60" i="383"/>
  <c r="L60" i="383"/>
  <c r="K60" i="383"/>
  <c r="J60" i="383"/>
  <c r="I60" i="383"/>
  <c r="H60" i="383"/>
  <c r="G60" i="383"/>
  <c r="F60" i="383"/>
  <c r="E60" i="383"/>
  <c r="M59" i="383"/>
  <c r="L59" i="383"/>
  <c r="K59" i="383"/>
  <c r="J59" i="383"/>
  <c r="I59" i="383"/>
  <c r="H59" i="383"/>
  <c r="G59" i="383"/>
  <c r="F59" i="383"/>
  <c r="E59" i="383"/>
  <c r="M58" i="383"/>
  <c r="L58" i="383"/>
  <c r="K58" i="383"/>
  <c r="J58" i="383"/>
  <c r="I58" i="383"/>
  <c r="H58" i="383"/>
  <c r="G58" i="383"/>
  <c r="F58" i="383"/>
  <c r="E58" i="383"/>
  <c r="M57" i="383"/>
  <c r="L57" i="383"/>
  <c r="K57" i="383"/>
  <c r="J57" i="383"/>
  <c r="I57" i="383"/>
  <c r="H57" i="383"/>
  <c r="G57" i="383"/>
  <c r="F57" i="383"/>
  <c r="E57" i="383"/>
  <c r="M56" i="383"/>
  <c r="L56" i="383"/>
  <c r="K56" i="383"/>
  <c r="J56" i="383"/>
  <c r="I56" i="383"/>
  <c r="H56" i="383"/>
  <c r="G56" i="383"/>
  <c r="F56" i="383"/>
  <c r="E56" i="383"/>
  <c r="M55" i="383"/>
  <c r="L55" i="383"/>
  <c r="K55" i="383"/>
  <c r="J55" i="383"/>
  <c r="I55" i="383"/>
  <c r="H55" i="383"/>
  <c r="G55" i="383"/>
  <c r="F55" i="383"/>
  <c r="E55" i="383"/>
  <c r="M54" i="383"/>
  <c r="L54" i="383"/>
  <c r="K54" i="383"/>
  <c r="J54" i="383"/>
  <c r="I54" i="383"/>
  <c r="H54" i="383"/>
  <c r="G54" i="383"/>
  <c r="F54" i="383"/>
  <c r="E54" i="383"/>
  <c r="M53" i="383"/>
  <c r="L53" i="383"/>
  <c r="K53" i="383"/>
  <c r="J53" i="383"/>
  <c r="I53" i="383"/>
  <c r="H53" i="383"/>
  <c r="G53" i="383"/>
  <c r="F53" i="383"/>
  <c r="E53" i="383"/>
  <c r="M52" i="383"/>
  <c r="L52" i="383"/>
  <c r="K52" i="383"/>
  <c r="J52" i="383"/>
  <c r="I52" i="383"/>
  <c r="H52" i="383"/>
  <c r="G52" i="383"/>
  <c r="F52" i="383"/>
  <c r="E52" i="383"/>
  <c r="M51" i="383"/>
  <c r="L51" i="383"/>
  <c r="K51" i="383"/>
  <c r="J51" i="383"/>
  <c r="I51" i="383"/>
  <c r="H51" i="383"/>
  <c r="G51" i="383"/>
  <c r="F51" i="383"/>
  <c r="E51" i="383"/>
  <c r="M50" i="383"/>
  <c r="L50" i="383"/>
  <c r="K50" i="383"/>
  <c r="J50" i="383"/>
  <c r="I50" i="383"/>
  <c r="H50" i="383"/>
  <c r="G50" i="383"/>
  <c r="F50" i="383"/>
  <c r="E50" i="383"/>
  <c r="M49" i="383"/>
  <c r="L49" i="383"/>
  <c r="K49" i="383"/>
  <c r="J49" i="383"/>
  <c r="I49" i="383"/>
  <c r="H49" i="383"/>
  <c r="G49" i="383"/>
  <c r="F49" i="383"/>
  <c r="E49" i="383"/>
  <c r="M48" i="383"/>
  <c r="L48" i="383"/>
  <c r="K48" i="383"/>
  <c r="J48" i="383"/>
  <c r="I48" i="383"/>
  <c r="H48" i="383"/>
  <c r="G48" i="383"/>
  <c r="F48" i="383"/>
  <c r="E48" i="383"/>
  <c r="M47" i="383"/>
  <c r="L47" i="383"/>
  <c r="K47" i="383"/>
  <c r="J47" i="383"/>
  <c r="I47" i="383"/>
  <c r="H47" i="383"/>
  <c r="G47" i="383"/>
  <c r="F47" i="383"/>
  <c r="E47" i="383"/>
  <c r="M46" i="383"/>
  <c r="L46" i="383"/>
  <c r="K46" i="383"/>
  <c r="J46" i="383"/>
  <c r="I46" i="383"/>
  <c r="H46" i="383"/>
  <c r="G46" i="383"/>
  <c r="F46" i="383"/>
  <c r="E46" i="383"/>
  <c r="M45" i="383"/>
  <c r="L45" i="383"/>
  <c r="K45" i="383"/>
  <c r="J45" i="383"/>
  <c r="I45" i="383"/>
  <c r="H45" i="383"/>
  <c r="G45" i="383"/>
  <c r="F45" i="383"/>
  <c r="E45" i="383"/>
  <c r="M44" i="383"/>
  <c r="L44" i="383"/>
  <c r="K44" i="383"/>
  <c r="J44" i="383"/>
  <c r="I44" i="383"/>
  <c r="H44" i="383"/>
  <c r="G44" i="383"/>
  <c r="F44" i="383"/>
  <c r="E44" i="383"/>
  <c r="M43" i="383"/>
  <c r="L43" i="383"/>
  <c r="K43" i="383"/>
  <c r="J43" i="383"/>
  <c r="I43" i="383"/>
  <c r="H43" i="383"/>
  <c r="G43" i="383"/>
  <c r="F43" i="383"/>
  <c r="E43" i="383"/>
  <c r="M42" i="383"/>
  <c r="L42" i="383"/>
  <c r="K42" i="383"/>
  <c r="J42" i="383"/>
  <c r="I42" i="383"/>
  <c r="H42" i="383"/>
  <c r="G42" i="383"/>
  <c r="F42" i="383"/>
  <c r="E42" i="383"/>
  <c r="M41" i="383"/>
  <c r="L41" i="383"/>
  <c r="K41" i="383"/>
  <c r="J41" i="383"/>
  <c r="I41" i="383"/>
  <c r="H41" i="383"/>
  <c r="G41" i="383"/>
  <c r="F41" i="383"/>
  <c r="E41" i="383"/>
  <c r="M40" i="383"/>
  <c r="L40" i="383"/>
  <c r="K40" i="383"/>
  <c r="J40" i="383"/>
  <c r="I40" i="383"/>
  <c r="H40" i="383"/>
  <c r="G40" i="383"/>
  <c r="F40" i="383"/>
  <c r="E40" i="383"/>
  <c r="M39" i="383"/>
  <c r="L39" i="383"/>
  <c r="K39" i="383"/>
  <c r="J39" i="383"/>
  <c r="I39" i="383"/>
  <c r="H39" i="383"/>
  <c r="G39" i="383"/>
  <c r="F39" i="383"/>
  <c r="E39" i="383"/>
  <c r="M38" i="383"/>
  <c r="L38" i="383"/>
  <c r="K38" i="383"/>
  <c r="J38" i="383"/>
  <c r="I38" i="383"/>
  <c r="H38" i="383"/>
  <c r="G38" i="383"/>
  <c r="F38" i="383"/>
  <c r="E38" i="383"/>
  <c r="M37" i="383"/>
  <c r="L37" i="383"/>
  <c r="K37" i="383"/>
  <c r="J37" i="383"/>
  <c r="I37" i="383"/>
  <c r="H37" i="383"/>
  <c r="G37" i="383"/>
  <c r="F37" i="383"/>
  <c r="E37" i="383"/>
  <c r="M36" i="383"/>
  <c r="L36" i="383"/>
  <c r="K36" i="383"/>
  <c r="J36" i="383"/>
  <c r="I36" i="383"/>
  <c r="H36" i="383"/>
  <c r="G36" i="383"/>
  <c r="F36" i="383"/>
  <c r="E36" i="383"/>
  <c r="M35" i="383"/>
  <c r="L35" i="383"/>
  <c r="K35" i="383"/>
  <c r="J35" i="383"/>
  <c r="I35" i="383"/>
  <c r="H35" i="383"/>
  <c r="G35" i="383"/>
  <c r="F35" i="383"/>
  <c r="E35" i="383"/>
  <c r="M34" i="383"/>
  <c r="L34" i="383"/>
  <c r="K34" i="383"/>
  <c r="J34" i="383"/>
  <c r="I34" i="383"/>
  <c r="H34" i="383"/>
  <c r="G34" i="383"/>
  <c r="F34" i="383"/>
  <c r="E34" i="383"/>
  <c r="M33" i="383"/>
  <c r="L33" i="383"/>
  <c r="K33" i="383"/>
  <c r="J33" i="383"/>
  <c r="I33" i="383"/>
  <c r="H33" i="383"/>
  <c r="G33" i="383"/>
  <c r="F33" i="383"/>
  <c r="E33" i="383"/>
  <c r="M32" i="383"/>
  <c r="L32" i="383"/>
  <c r="K32" i="383"/>
  <c r="J32" i="383"/>
  <c r="I32" i="383"/>
  <c r="H32" i="383"/>
  <c r="G32" i="383"/>
  <c r="F32" i="383"/>
  <c r="E32" i="383"/>
  <c r="M31" i="383"/>
  <c r="L31" i="383"/>
  <c r="K31" i="383"/>
  <c r="J31" i="383"/>
  <c r="I31" i="383"/>
  <c r="H31" i="383"/>
  <c r="G31" i="383"/>
  <c r="F31" i="383"/>
  <c r="E31" i="383"/>
  <c r="M30" i="383"/>
  <c r="L30" i="383"/>
  <c r="K30" i="383"/>
  <c r="J30" i="383"/>
  <c r="I30" i="383"/>
  <c r="H30" i="383"/>
  <c r="G30" i="383"/>
  <c r="F30" i="383"/>
  <c r="E30" i="383"/>
  <c r="M29" i="383"/>
  <c r="L29" i="383"/>
  <c r="K29" i="383"/>
  <c r="J29" i="383"/>
  <c r="I29" i="383"/>
  <c r="H29" i="383"/>
  <c r="G29" i="383"/>
  <c r="F29" i="383"/>
  <c r="E29" i="383"/>
  <c r="M28" i="383"/>
  <c r="L28" i="383"/>
  <c r="K28" i="383"/>
  <c r="J28" i="383"/>
  <c r="I28" i="383"/>
  <c r="H28" i="383"/>
  <c r="G28" i="383"/>
  <c r="F28" i="383"/>
  <c r="E28" i="383"/>
  <c r="M27" i="383"/>
  <c r="L27" i="383"/>
  <c r="K27" i="383"/>
  <c r="J27" i="383"/>
  <c r="I27" i="383"/>
  <c r="H27" i="383"/>
  <c r="G27" i="383"/>
  <c r="F27" i="383"/>
  <c r="E27" i="383"/>
  <c r="M26" i="383"/>
  <c r="L26" i="383"/>
  <c r="K26" i="383"/>
  <c r="J26" i="383"/>
  <c r="I26" i="383"/>
  <c r="H26" i="383"/>
  <c r="G26" i="383"/>
  <c r="F26" i="383"/>
  <c r="E26" i="383"/>
  <c r="M25" i="383"/>
  <c r="L25" i="383"/>
  <c r="K25" i="383"/>
  <c r="J25" i="383"/>
  <c r="I25" i="383"/>
  <c r="H25" i="383"/>
  <c r="G25" i="383"/>
  <c r="F25" i="383"/>
  <c r="E25" i="383"/>
  <c r="M24" i="383"/>
  <c r="L24" i="383"/>
  <c r="K24" i="383"/>
  <c r="J24" i="383"/>
  <c r="I24" i="383"/>
  <c r="H24" i="383"/>
  <c r="G24" i="383"/>
  <c r="F24" i="383"/>
  <c r="E24" i="383"/>
  <c r="M23" i="383"/>
  <c r="L23" i="383"/>
  <c r="K23" i="383"/>
  <c r="J23" i="383"/>
  <c r="I23" i="383"/>
  <c r="H23" i="383"/>
  <c r="G23" i="383"/>
  <c r="F23" i="383"/>
  <c r="E23" i="383"/>
  <c r="M22" i="383"/>
  <c r="L22" i="383"/>
  <c r="K22" i="383"/>
  <c r="J22" i="383"/>
  <c r="I22" i="383"/>
  <c r="H22" i="383"/>
  <c r="G22" i="383"/>
  <c r="F22" i="383"/>
  <c r="E22" i="383"/>
  <c r="M21" i="383"/>
  <c r="L21" i="383"/>
  <c r="K21" i="383"/>
  <c r="J21" i="383"/>
  <c r="I21" i="383"/>
  <c r="H21" i="383"/>
  <c r="G21" i="383"/>
  <c r="F21" i="383"/>
  <c r="E21" i="383"/>
  <c r="M20" i="383"/>
  <c r="L20" i="383"/>
  <c r="K20" i="383"/>
  <c r="J20" i="383"/>
  <c r="I20" i="383"/>
  <c r="H20" i="383"/>
  <c r="G20" i="383"/>
  <c r="F20" i="383"/>
  <c r="E20" i="383"/>
  <c r="M19" i="383"/>
  <c r="L19" i="383"/>
  <c r="K19" i="383"/>
  <c r="J19" i="383"/>
  <c r="I19" i="383"/>
  <c r="H19" i="383"/>
  <c r="G19" i="383"/>
  <c r="F19" i="383"/>
  <c r="E19" i="383"/>
  <c r="M18" i="383"/>
  <c r="L18" i="383"/>
  <c r="K18" i="383"/>
  <c r="J18" i="383"/>
  <c r="I18" i="383"/>
  <c r="H18" i="383"/>
  <c r="G18" i="383"/>
  <c r="F18" i="383"/>
  <c r="E18" i="383"/>
  <c r="M17" i="383"/>
  <c r="L17" i="383"/>
  <c r="K17" i="383"/>
  <c r="J17" i="383"/>
  <c r="I17" i="383"/>
  <c r="H17" i="383"/>
  <c r="G17" i="383"/>
  <c r="F17" i="383"/>
  <c r="E17" i="383"/>
  <c r="M16" i="383"/>
  <c r="L16" i="383"/>
  <c r="K16" i="383"/>
  <c r="J16" i="383"/>
  <c r="I16" i="383"/>
  <c r="H16" i="383"/>
  <c r="G16" i="383"/>
  <c r="F16" i="383"/>
  <c r="E16" i="383"/>
  <c r="M15" i="383"/>
  <c r="L15" i="383"/>
  <c r="K15" i="383"/>
  <c r="J15" i="383"/>
  <c r="I15" i="383"/>
  <c r="H15" i="383"/>
  <c r="G15" i="383"/>
  <c r="F15" i="383"/>
  <c r="E15" i="383"/>
  <c r="M14" i="383"/>
  <c r="L14" i="383"/>
  <c r="K14" i="383"/>
  <c r="J14" i="383"/>
  <c r="I14" i="383"/>
  <c r="H14" i="383"/>
  <c r="G14" i="383"/>
  <c r="F14" i="383"/>
  <c r="E14" i="383"/>
  <c r="M13" i="383"/>
  <c r="L13" i="383"/>
  <c r="K13" i="383"/>
  <c r="J13" i="383"/>
  <c r="I13" i="383"/>
  <c r="H13" i="383"/>
  <c r="G13" i="383"/>
  <c r="F13" i="383"/>
  <c r="E13" i="383"/>
  <c r="M12" i="383"/>
  <c r="L12" i="383"/>
  <c r="K12" i="383"/>
  <c r="J12" i="383"/>
  <c r="I12" i="383"/>
  <c r="H12" i="383"/>
  <c r="G12" i="383"/>
  <c r="F12" i="383"/>
  <c r="E12" i="383"/>
  <c r="M11" i="383"/>
  <c r="L11" i="383"/>
  <c r="K11" i="383"/>
  <c r="J11" i="383"/>
  <c r="I11" i="383"/>
  <c r="H11" i="383"/>
  <c r="G11" i="383"/>
  <c r="F11" i="383"/>
  <c r="E11" i="383"/>
  <c r="M10" i="383"/>
  <c r="L10" i="383"/>
  <c r="K10" i="383"/>
  <c r="J10" i="383"/>
  <c r="I10" i="383"/>
  <c r="H10" i="383"/>
  <c r="G10" i="383"/>
  <c r="F10" i="383"/>
  <c r="E10" i="383"/>
  <c r="M9" i="383"/>
  <c r="L9" i="383"/>
  <c r="K9" i="383"/>
  <c r="J9" i="383"/>
  <c r="I9" i="383"/>
  <c r="H9" i="383"/>
  <c r="G9" i="383"/>
  <c r="F9" i="383"/>
  <c r="E9" i="383"/>
  <c r="M8" i="383"/>
  <c r="L8" i="383"/>
  <c r="K8" i="383"/>
  <c r="J8" i="383"/>
  <c r="I8" i="383"/>
  <c r="H8" i="383"/>
  <c r="G8" i="383"/>
  <c r="F8" i="383"/>
  <c r="E8" i="383"/>
  <c r="M7" i="383"/>
  <c r="L7" i="383"/>
  <c r="K7" i="383"/>
  <c r="J7" i="383"/>
  <c r="I7" i="383"/>
  <c r="H7" i="383"/>
  <c r="G7" i="383"/>
  <c r="F7" i="383"/>
  <c r="E7" i="383"/>
  <c r="M6" i="383"/>
  <c r="L6" i="383"/>
  <c r="K6" i="383"/>
  <c r="J6" i="383"/>
  <c r="I6" i="383"/>
  <c r="H6" i="383"/>
  <c r="G6" i="383"/>
  <c r="F6" i="383"/>
  <c r="E6" i="383"/>
  <c r="M5" i="383"/>
  <c r="L5" i="383"/>
  <c r="K5" i="383"/>
  <c r="J5" i="383"/>
  <c r="I5" i="383"/>
  <c r="H5" i="383"/>
  <c r="G5" i="383"/>
  <c r="F5" i="383"/>
  <c r="E5" i="383"/>
  <c r="M4" i="383"/>
  <c r="L4" i="383"/>
  <c r="K4" i="383"/>
  <c r="J4" i="383"/>
  <c r="I4" i="383"/>
  <c r="H4" i="383"/>
  <c r="G4" i="383"/>
  <c r="F4" i="383"/>
  <c r="E4" i="383"/>
  <c r="M3" i="383"/>
  <c r="L3" i="383"/>
  <c r="K3" i="383"/>
  <c r="J3" i="383"/>
  <c r="I3" i="383"/>
  <c r="H3" i="383"/>
  <c r="G3" i="383"/>
  <c r="F3" i="383"/>
  <c r="E3" i="383"/>
  <c r="M2" i="383"/>
  <c r="L2" i="383"/>
  <c r="K2" i="383"/>
  <c r="J2" i="383"/>
  <c r="I2" i="383"/>
  <c r="H2" i="383"/>
  <c r="G2" i="383"/>
  <c r="F2" i="383"/>
  <c r="E2" i="383"/>
  <c r="B53" i="383"/>
  <c r="V26" i="538"/>
  <c r="U37" i="538"/>
  <c r="R37" i="538"/>
  <c r="O37" i="538"/>
  <c r="L37" i="538"/>
  <c r="I37" i="538"/>
  <c r="F37" i="538"/>
  <c r="C37" i="538"/>
  <c r="V35" i="538" s="1"/>
  <c r="V32" i="538" s="1"/>
  <c r="V20" i="538"/>
  <c r="Z18" i="538"/>
  <c r="Z17" i="538"/>
  <c r="Z16" i="538"/>
  <c r="Z15" i="538"/>
  <c r="Z13" i="538"/>
  <c r="Y13" i="538"/>
  <c r="AP12" i="538"/>
  <c r="AO12" i="538"/>
  <c r="AN12" i="538"/>
  <c r="AM12" i="538"/>
  <c r="AL12" i="538"/>
  <c r="AK12" i="538"/>
  <c r="AJ12" i="538"/>
  <c r="AI12" i="538"/>
  <c r="AH12" i="538"/>
  <c r="Z12" i="538"/>
  <c r="Y12" i="538"/>
  <c r="AP11" i="538"/>
  <c r="AO11" i="538"/>
  <c r="AN11" i="538"/>
  <c r="AM11" i="538"/>
  <c r="AL11" i="538"/>
  <c r="AK11" i="538"/>
  <c r="AJ11" i="538"/>
  <c r="AI11" i="538"/>
  <c r="AH11" i="538"/>
  <c r="Z11" i="538"/>
  <c r="Y11" i="538"/>
  <c r="AP10" i="538"/>
  <c r="AO10" i="538"/>
  <c r="AN10" i="538"/>
  <c r="AM10" i="538"/>
  <c r="AL10" i="538"/>
  <c r="AK10" i="538"/>
  <c r="AJ10" i="538"/>
  <c r="AI10" i="538"/>
  <c r="AH10" i="538"/>
  <c r="Z10" i="538"/>
  <c r="Y10" i="538"/>
  <c r="AP9" i="538"/>
  <c r="AO9" i="538"/>
  <c r="AN9" i="538"/>
  <c r="AM9" i="538"/>
  <c r="AL9" i="538"/>
  <c r="AK9" i="538"/>
  <c r="AJ9" i="538"/>
  <c r="AI9" i="538"/>
  <c r="AH9" i="538"/>
  <c r="Z9" i="538"/>
  <c r="Y9" i="538"/>
  <c r="AP8" i="538"/>
  <c r="AO8" i="538"/>
  <c r="AN8" i="538"/>
  <c r="AM8" i="538"/>
  <c r="AL8" i="538"/>
  <c r="AK8" i="538"/>
  <c r="AJ8" i="538"/>
  <c r="AI8" i="538"/>
  <c r="AH8" i="538"/>
  <c r="Z8" i="538"/>
  <c r="Y8" i="538"/>
  <c r="AP7" i="538"/>
  <c r="AO7" i="538"/>
  <c r="AN7" i="538"/>
  <c r="AM7" i="538"/>
  <c r="AL7" i="538"/>
  <c r="AK7" i="538"/>
  <c r="AJ7" i="538"/>
  <c r="AI7" i="538"/>
  <c r="AH7" i="538"/>
  <c r="Z7" i="538"/>
  <c r="Y7" i="538"/>
  <c r="AP6" i="538"/>
  <c r="AO6" i="538"/>
  <c r="AN6" i="538"/>
  <c r="AM6" i="538"/>
  <c r="AL6" i="538"/>
  <c r="AK6" i="538"/>
  <c r="AJ6" i="538"/>
  <c r="AI6" i="538"/>
  <c r="AH6" i="538"/>
  <c r="Z6" i="538"/>
  <c r="Y6" i="538"/>
  <c r="Z5" i="538"/>
  <c r="Y5" i="538"/>
  <c r="V1" i="538"/>
  <c r="T1" i="538" s="1"/>
  <c r="E1" i="538"/>
  <c r="B52" i="383"/>
  <c r="V26" i="537"/>
  <c r="U37" i="537"/>
  <c r="R37" i="537"/>
  <c r="O37" i="537"/>
  <c r="L37" i="537"/>
  <c r="I37" i="537"/>
  <c r="F37" i="537"/>
  <c r="C37" i="537"/>
  <c r="V35" i="537"/>
  <c r="V32" i="537" s="1"/>
  <c r="V20" i="537"/>
  <c r="Z18" i="537"/>
  <c r="Z17" i="537"/>
  <c r="Z16" i="537"/>
  <c r="Z15" i="537"/>
  <c r="Z13" i="537"/>
  <c r="Y13" i="537"/>
  <c r="AP12" i="537"/>
  <c r="AO12" i="537"/>
  <c r="AN12" i="537"/>
  <c r="AM12" i="537"/>
  <c r="AL12" i="537"/>
  <c r="AK12" i="537"/>
  <c r="AJ12" i="537"/>
  <c r="AI12" i="537"/>
  <c r="AH12" i="537"/>
  <c r="Z12" i="537"/>
  <c r="Y12" i="537"/>
  <c r="AP11" i="537"/>
  <c r="AO11" i="537"/>
  <c r="AN11" i="537"/>
  <c r="AM11" i="537"/>
  <c r="AL11" i="537"/>
  <c r="AK11" i="537"/>
  <c r="AJ11" i="537"/>
  <c r="AI11" i="537"/>
  <c r="AH11" i="537"/>
  <c r="Z11" i="537"/>
  <c r="Y11" i="537"/>
  <c r="AP10" i="537"/>
  <c r="AO10" i="537"/>
  <c r="AN10" i="537"/>
  <c r="AM10" i="537"/>
  <c r="AL10" i="537"/>
  <c r="AK10" i="537"/>
  <c r="AJ10" i="537"/>
  <c r="AI10" i="537"/>
  <c r="AH10" i="537"/>
  <c r="Z10" i="537"/>
  <c r="Y10" i="537"/>
  <c r="AP9" i="537"/>
  <c r="AO9" i="537"/>
  <c r="AN9" i="537"/>
  <c r="AM9" i="537"/>
  <c r="AL9" i="537"/>
  <c r="AK9" i="537"/>
  <c r="AJ9" i="537"/>
  <c r="AI9" i="537"/>
  <c r="AH9" i="537"/>
  <c r="Z9" i="537"/>
  <c r="Y9" i="537"/>
  <c r="AP8" i="537"/>
  <c r="AO8" i="537"/>
  <c r="AN8" i="537"/>
  <c r="AM8" i="537"/>
  <c r="AL8" i="537"/>
  <c r="AK8" i="537"/>
  <c r="AJ8" i="537"/>
  <c r="AI8" i="537"/>
  <c r="AH8" i="537"/>
  <c r="Z8" i="537"/>
  <c r="Y8" i="537"/>
  <c r="AP7" i="537"/>
  <c r="AO7" i="537"/>
  <c r="AN7" i="537"/>
  <c r="AM7" i="537"/>
  <c r="AL7" i="537"/>
  <c r="AK7" i="537"/>
  <c r="AJ7" i="537"/>
  <c r="AI7" i="537"/>
  <c r="AH7" i="537"/>
  <c r="Z7" i="537"/>
  <c r="Y7" i="537"/>
  <c r="AP6" i="537"/>
  <c r="AO6" i="537"/>
  <c r="AN6" i="537"/>
  <c r="AM6" i="537"/>
  <c r="AL6" i="537"/>
  <c r="AK6" i="537"/>
  <c r="AJ6" i="537"/>
  <c r="AI6" i="537"/>
  <c r="AH6" i="537"/>
  <c r="Z6" i="537"/>
  <c r="Y6" i="537"/>
  <c r="Z5" i="537"/>
  <c r="Y5" i="537"/>
  <c r="V1" i="537"/>
  <c r="T1" i="537"/>
  <c r="R1" i="537"/>
  <c r="A2" i="537" s="1"/>
  <c r="D2" i="537" s="1"/>
  <c r="G2" i="537" s="1"/>
  <c r="J2" i="537" s="1"/>
  <c r="M2" i="537" s="1"/>
  <c r="P2" i="537" s="1"/>
  <c r="S2" i="537" s="1"/>
  <c r="E1" i="537"/>
  <c r="B51" i="383"/>
  <c r="V26" i="536"/>
  <c r="U37" i="536"/>
  <c r="R37" i="536"/>
  <c r="O37" i="536"/>
  <c r="L37" i="536"/>
  <c r="I37" i="536"/>
  <c r="F37" i="536"/>
  <c r="C37" i="536"/>
  <c r="V35" i="536" s="1"/>
  <c r="V32" i="536" s="1"/>
  <c r="V20" i="536"/>
  <c r="Z18" i="536"/>
  <c r="Z17" i="536"/>
  <c r="Z16" i="536"/>
  <c r="Z15" i="536"/>
  <c r="Z13" i="536"/>
  <c r="Y13" i="536"/>
  <c r="AP12" i="536"/>
  <c r="AO12" i="536"/>
  <c r="AN12" i="536"/>
  <c r="AM12" i="536"/>
  <c r="AL12" i="536"/>
  <c r="AK12" i="536"/>
  <c r="AJ12" i="536"/>
  <c r="AI12" i="536"/>
  <c r="AH12" i="536"/>
  <c r="Z12" i="536"/>
  <c r="Y12" i="536"/>
  <c r="AP11" i="536"/>
  <c r="AO11" i="536"/>
  <c r="AN11" i="536"/>
  <c r="AM11" i="536"/>
  <c r="AL11" i="536"/>
  <c r="AK11" i="536"/>
  <c r="AJ11" i="536"/>
  <c r="AI11" i="536"/>
  <c r="AH11" i="536"/>
  <c r="Z11" i="536"/>
  <c r="Y11" i="536"/>
  <c r="AP10" i="536"/>
  <c r="AO10" i="536"/>
  <c r="AN10" i="536"/>
  <c r="AM10" i="536"/>
  <c r="AL10" i="536"/>
  <c r="AK10" i="536"/>
  <c r="AJ10" i="536"/>
  <c r="AI10" i="536"/>
  <c r="AH10" i="536"/>
  <c r="Z10" i="536"/>
  <c r="Y10" i="536"/>
  <c r="AP9" i="536"/>
  <c r="AO9" i="536"/>
  <c r="AN9" i="536"/>
  <c r="AM9" i="536"/>
  <c r="AL9" i="536"/>
  <c r="AK9" i="536"/>
  <c r="AJ9" i="536"/>
  <c r="AI9" i="536"/>
  <c r="AH9" i="536"/>
  <c r="Z9" i="536"/>
  <c r="Y9" i="536"/>
  <c r="AP8" i="536"/>
  <c r="AO8" i="536"/>
  <c r="AN8" i="536"/>
  <c r="AM8" i="536"/>
  <c r="AL8" i="536"/>
  <c r="AK8" i="536"/>
  <c r="AJ8" i="536"/>
  <c r="AI8" i="536"/>
  <c r="AH8" i="536"/>
  <c r="Z8" i="536"/>
  <c r="Y8" i="536"/>
  <c r="AP7" i="536"/>
  <c r="AO7" i="536"/>
  <c r="AN7" i="536"/>
  <c r="AM7" i="536"/>
  <c r="AL7" i="536"/>
  <c r="AK7" i="536"/>
  <c r="AJ7" i="536"/>
  <c r="AI7" i="536"/>
  <c r="AH7" i="536"/>
  <c r="Z7" i="536"/>
  <c r="Y7" i="536"/>
  <c r="AP6" i="536"/>
  <c r="AO6" i="536"/>
  <c r="AN6" i="536"/>
  <c r="AM6" i="536"/>
  <c r="AL6" i="536"/>
  <c r="AK6" i="536"/>
  <c r="AJ6" i="536"/>
  <c r="AI6" i="536"/>
  <c r="AH6" i="536"/>
  <c r="Z6" i="536"/>
  <c r="Y6" i="536"/>
  <c r="Z5" i="536"/>
  <c r="Y5" i="536"/>
  <c r="V1" i="536"/>
  <c r="R1" i="536" s="1"/>
  <c r="T1" i="536"/>
  <c r="E1" i="536"/>
  <c r="B50" i="383"/>
  <c r="V26" i="535"/>
  <c r="U37" i="535"/>
  <c r="R37" i="535"/>
  <c r="O37" i="535"/>
  <c r="L37" i="535"/>
  <c r="I37" i="535"/>
  <c r="F37" i="535"/>
  <c r="C37" i="535"/>
  <c r="V35" i="535" s="1"/>
  <c r="V32" i="535" s="1"/>
  <c r="V20" i="535"/>
  <c r="Z18" i="535"/>
  <c r="Z17" i="535"/>
  <c r="Z16" i="535"/>
  <c r="Z15" i="535"/>
  <c r="Z13" i="535"/>
  <c r="Y13" i="535"/>
  <c r="AP12" i="535"/>
  <c r="AO12" i="535"/>
  <c r="AN12" i="535"/>
  <c r="AM12" i="535"/>
  <c r="AL12" i="535"/>
  <c r="AK12" i="535"/>
  <c r="AJ12" i="535"/>
  <c r="AI12" i="535"/>
  <c r="AH12" i="535"/>
  <c r="Z12" i="535"/>
  <c r="Y12" i="535"/>
  <c r="AP11" i="535"/>
  <c r="AO11" i="535"/>
  <c r="AN11" i="535"/>
  <c r="AM11" i="535"/>
  <c r="AL11" i="535"/>
  <c r="AK11" i="535"/>
  <c r="AJ11" i="535"/>
  <c r="AI11" i="535"/>
  <c r="AH11" i="535"/>
  <c r="Z11" i="535"/>
  <c r="Y11" i="535"/>
  <c r="AP10" i="535"/>
  <c r="AO10" i="535"/>
  <c r="AN10" i="535"/>
  <c r="AM10" i="535"/>
  <c r="AL10" i="535"/>
  <c r="AK10" i="535"/>
  <c r="AJ10" i="535"/>
  <c r="AI10" i="535"/>
  <c r="AH10" i="535"/>
  <c r="Z10" i="535"/>
  <c r="Y10" i="535"/>
  <c r="AP9" i="535"/>
  <c r="AO9" i="535"/>
  <c r="AN9" i="535"/>
  <c r="AM9" i="535"/>
  <c r="AL9" i="535"/>
  <c r="AK9" i="535"/>
  <c r="AJ9" i="535"/>
  <c r="AI9" i="535"/>
  <c r="AH9" i="535"/>
  <c r="Z9" i="535"/>
  <c r="Y9" i="535"/>
  <c r="AP8" i="535"/>
  <c r="AO8" i="535"/>
  <c r="AN8" i="535"/>
  <c r="AM8" i="535"/>
  <c r="AL8" i="535"/>
  <c r="AK8" i="535"/>
  <c r="AJ8" i="535"/>
  <c r="AI8" i="535"/>
  <c r="AH8" i="535"/>
  <c r="Z8" i="535"/>
  <c r="Y8" i="535"/>
  <c r="AP7" i="535"/>
  <c r="AO7" i="535"/>
  <c r="AN7" i="535"/>
  <c r="AM7" i="535"/>
  <c r="AL7" i="535"/>
  <c r="AK7" i="535"/>
  <c r="AJ7" i="535"/>
  <c r="AI7" i="535"/>
  <c r="AH7" i="535"/>
  <c r="Z7" i="535"/>
  <c r="Y7" i="535"/>
  <c r="AP6" i="535"/>
  <c r="AO6" i="535"/>
  <c r="AN6" i="535"/>
  <c r="AM6" i="535"/>
  <c r="AL6" i="535"/>
  <c r="AK6" i="535"/>
  <c r="AJ6" i="535"/>
  <c r="AI6" i="535"/>
  <c r="AH6" i="535"/>
  <c r="Z6" i="535"/>
  <c r="Y6" i="535"/>
  <c r="Z5" i="535"/>
  <c r="Y5" i="535"/>
  <c r="V1" i="535"/>
  <c r="T1" i="535" s="1"/>
  <c r="E1" i="535"/>
  <c r="B49" i="383"/>
  <c r="V26" i="534"/>
  <c r="U37" i="534"/>
  <c r="R37" i="534"/>
  <c r="O37" i="534"/>
  <c r="L37" i="534"/>
  <c r="I37" i="534"/>
  <c r="F37" i="534"/>
  <c r="V35" i="534" s="1"/>
  <c r="V32" i="534" s="1"/>
  <c r="C37" i="534"/>
  <c r="V20" i="534"/>
  <c r="Z18" i="534"/>
  <c r="Z17" i="534"/>
  <c r="Z16" i="534"/>
  <c r="Z15" i="534"/>
  <c r="Z13" i="534"/>
  <c r="Y13" i="534"/>
  <c r="AP12" i="534"/>
  <c r="AO12" i="534"/>
  <c r="AN12" i="534"/>
  <c r="AM12" i="534"/>
  <c r="AL12" i="534"/>
  <c r="AK12" i="534"/>
  <c r="AJ12" i="534"/>
  <c r="AI12" i="534"/>
  <c r="AH12" i="534"/>
  <c r="Z12" i="534"/>
  <c r="Y12" i="534"/>
  <c r="AP11" i="534"/>
  <c r="AO11" i="534"/>
  <c r="AN11" i="534"/>
  <c r="AM11" i="534"/>
  <c r="AL11" i="534"/>
  <c r="AK11" i="534"/>
  <c r="AJ11" i="534"/>
  <c r="AI11" i="534"/>
  <c r="AH11" i="534"/>
  <c r="Z11" i="534"/>
  <c r="Y11" i="534"/>
  <c r="AP10" i="534"/>
  <c r="AO10" i="534"/>
  <c r="AN10" i="534"/>
  <c r="AM10" i="534"/>
  <c r="AL10" i="534"/>
  <c r="AK10" i="534"/>
  <c r="AJ10" i="534"/>
  <c r="AI10" i="534"/>
  <c r="AH10" i="534"/>
  <c r="Z10" i="534"/>
  <c r="Y10" i="534"/>
  <c r="AP9" i="534"/>
  <c r="AO9" i="534"/>
  <c r="AN9" i="534"/>
  <c r="AM9" i="534"/>
  <c r="AL9" i="534"/>
  <c r="AK9" i="534"/>
  <c r="AJ9" i="534"/>
  <c r="AI9" i="534"/>
  <c r="AH9" i="534"/>
  <c r="Z9" i="534"/>
  <c r="Y9" i="534"/>
  <c r="AP8" i="534"/>
  <c r="AO8" i="534"/>
  <c r="AN8" i="534"/>
  <c r="AM8" i="534"/>
  <c r="AL8" i="534"/>
  <c r="AK8" i="534"/>
  <c r="AJ8" i="534"/>
  <c r="AI8" i="534"/>
  <c r="AH8" i="534"/>
  <c r="Z8" i="534"/>
  <c r="Y8" i="534"/>
  <c r="AP7" i="534"/>
  <c r="AO7" i="534"/>
  <c r="AN7" i="534"/>
  <c r="AM7" i="534"/>
  <c r="AL7" i="534"/>
  <c r="AK7" i="534"/>
  <c r="AJ7" i="534"/>
  <c r="AI7" i="534"/>
  <c r="AH7" i="534"/>
  <c r="Z7" i="534"/>
  <c r="Y7" i="534"/>
  <c r="AP6" i="534"/>
  <c r="AO6" i="534"/>
  <c r="AN6" i="534"/>
  <c r="AM6" i="534"/>
  <c r="AL6" i="534"/>
  <c r="AK6" i="534"/>
  <c r="AJ6" i="534"/>
  <c r="AI6" i="534"/>
  <c r="AH6" i="534"/>
  <c r="Z6" i="534"/>
  <c r="Y6" i="534"/>
  <c r="Z5" i="534"/>
  <c r="Y5" i="534"/>
  <c r="V1" i="534"/>
  <c r="T1" i="534" s="1"/>
  <c r="E1" i="534"/>
  <c r="B48" i="383"/>
  <c r="V26" i="533"/>
  <c r="U37" i="533"/>
  <c r="R37" i="533"/>
  <c r="O37" i="533"/>
  <c r="L37" i="533"/>
  <c r="I37" i="533"/>
  <c r="F37" i="533"/>
  <c r="C37" i="533"/>
  <c r="V35" i="533" s="1"/>
  <c r="V32" i="533" s="1"/>
  <c r="V20" i="533"/>
  <c r="Z18" i="533"/>
  <c r="Z17" i="533"/>
  <c r="Z16" i="533"/>
  <c r="Z15" i="533"/>
  <c r="Z13" i="533"/>
  <c r="Y13" i="533"/>
  <c r="AP12" i="533"/>
  <c r="AO12" i="533"/>
  <c r="AN12" i="533"/>
  <c r="AM12" i="533"/>
  <c r="AL12" i="533"/>
  <c r="AK12" i="533"/>
  <c r="AJ12" i="533"/>
  <c r="AI12" i="533"/>
  <c r="AH12" i="533"/>
  <c r="Z12" i="533"/>
  <c r="Y12" i="533"/>
  <c r="AP11" i="533"/>
  <c r="AO11" i="533"/>
  <c r="AN11" i="533"/>
  <c r="AM11" i="533"/>
  <c r="AL11" i="533"/>
  <c r="AK11" i="533"/>
  <c r="AJ11" i="533"/>
  <c r="AI11" i="533"/>
  <c r="AH11" i="533"/>
  <c r="Z11" i="533"/>
  <c r="Y11" i="533"/>
  <c r="AP10" i="533"/>
  <c r="AO10" i="533"/>
  <c r="AN10" i="533"/>
  <c r="AM10" i="533"/>
  <c r="AL10" i="533"/>
  <c r="AK10" i="533"/>
  <c r="AJ10" i="533"/>
  <c r="AI10" i="533"/>
  <c r="AH10" i="533"/>
  <c r="Z10" i="533"/>
  <c r="Y10" i="533"/>
  <c r="AP9" i="533"/>
  <c r="AO9" i="533"/>
  <c r="AN9" i="533"/>
  <c r="AM9" i="533"/>
  <c r="AL9" i="533"/>
  <c r="AK9" i="533"/>
  <c r="AJ9" i="533"/>
  <c r="AI9" i="533"/>
  <c r="AH9" i="533"/>
  <c r="Z9" i="533"/>
  <c r="Y9" i="533"/>
  <c r="AP8" i="533"/>
  <c r="AO8" i="533"/>
  <c r="AN8" i="533"/>
  <c r="AM8" i="533"/>
  <c r="AL8" i="533"/>
  <c r="AK8" i="533"/>
  <c r="AJ8" i="533"/>
  <c r="AI8" i="533"/>
  <c r="AH8" i="533"/>
  <c r="Z8" i="533"/>
  <c r="Y8" i="533"/>
  <c r="AP7" i="533"/>
  <c r="AO7" i="533"/>
  <c r="AN7" i="533"/>
  <c r="AM7" i="533"/>
  <c r="AL7" i="533"/>
  <c r="AK7" i="533"/>
  <c r="AJ7" i="533"/>
  <c r="AI7" i="533"/>
  <c r="AH7" i="533"/>
  <c r="Z7" i="533"/>
  <c r="Y7" i="533"/>
  <c r="AP6" i="533"/>
  <c r="AO6" i="533"/>
  <c r="AN6" i="533"/>
  <c r="AM6" i="533"/>
  <c r="AL6" i="533"/>
  <c r="AK6" i="533"/>
  <c r="AJ6" i="533"/>
  <c r="AI6" i="533"/>
  <c r="AH6" i="533"/>
  <c r="Z6" i="533"/>
  <c r="Y6" i="533"/>
  <c r="Z5" i="533"/>
  <c r="Y5" i="533"/>
  <c r="V1" i="533"/>
  <c r="R1" i="533" s="1"/>
  <c r="T1" i="533"/>
  <c r="E1" i="533"/>
  <c r="B47" i="383"/>
  <c r="V26" i="532"/>
  <c r="U37" i="532"/>
  <c r="R37" i="532"/>
  <c r="O37" i="532"/>
  <c r="L37" i="532"/>
  <c r="I37" i="532"/>
  <c r="F37" i="532"/>
  <c r="C37" i="532"/>
  <c r="V35" i="532"/>
  <c r="V32" i="532" s="1"/>
  <c r="V20" i="532"/>
  <c r="Z18" i="532"/>
  <c r="Z17" i="532"/>
  <c r="Z16" i="532"/>
  <c r="Z15" i="532"/>
  <c r="Z13" i="532"/>
  <c r="Y13" i="532"/>
  <c r="AP12" i="532"/>
  <c r="AO12" i="532"/>
  <c r="AN12" i="532"/>
  <c r="AM12" i="532"/>
  <c r="AL12" i="532"/>
  <c r="AK12" i="532"/>
  <c r="AJ12" i="532"/>
  <c r="AI12" i="532"/>
  <c r="AH12" i="532"/>
  <c r="Z12" i="532"/>
  <c r="Y12" i="532"/>
  <c r="AP11" i="532"/>
  <c r="AO11" i="532"/>
  <c r="AN11" i="532"/>
  <c r="AM11" i="532"/>
  <c r="AL11" i="532"/>
  <c r="AK11" i="532"/>
  <c r="AJ11" i="532"/>
  <c r="AI11" i="532"/>
  <c r="AH11" i="532"/>
  <c r="Z11" i="532"/>
  <c r="Y11" i="532"/>
  <c r="AP10" i="532"/>
  <c r="AO10" i="532"/>
  <c r="AN10" i="532"/>
  <c r="AM10" i="532"/>
  <c r="AL10" i="532"/>
  <c r="AK10" i="532"/>
  <c r="AJ10" i="532"/>
  <c r="AI10" i="532"/>
  <c r="AH10" i="532"/>
  <c r="Z10" i="532"/>
  <c r="Y10" i="532"/>
  <c r="AP9" i="532"/>
  <c r="AO9" i="532"/>
  <c r="AN9" i="532"/>
  <c r="AM9" i="532"/>
  <c r="AL9" i="532"/>
  <c r="AK9" i="532"/>
  <c r="AJ9" i="532"/>
  <c r="AI9" i="532"/>
  <c r="AH9" i="532"/>
  <c r="Z9" i="532"/>
  <c r="Y9" i="532"/>
  <c r="AP8" i="532"/>
  <c r="AO8" i="532"/>
  <c r="AN8" i="532"/>
  <c r="AM8" i="532"/>
  <c r="AL8" i="532"/>
  <c r="AK8" i="532"/>
  <c r="AJ8" i="532"/>
  <c r="AI8" i="532"/>
  <c r="AH8" i="532"/>
  <c r="Z8" i="532"/>
  <c r="Y8" i="532"/>
  <c r="AP7" i="532"/>
  <c r="AO7" i="532"/>
  <c r="AN7" i="532"/>
  <c r="AM7" i="532"/>
  <c r="AL7" i="532"/>
  <c r="AK7" i="532"/>
  <c r="AJ7" i="532"/>
  <c r="AI7" i="532"/>
  <c r="AH7" i="532"/>
  <c r="Z7" i="532"/>
  <c r="Y7" i="532"/>
  <c r="AP6" i="532"/>
  <c r="AO6" i="532"/>
  <c r="AN6" i="532"/>
  <c r="AM6" i="532"/>
  <c r="AL6" i="532"/>
  <c r="AK6" i="532"/>
  <c r="AJ6" i="532"/>
  <c r="AI6" i="532"/>
  <c r="AH6" i="532"/>
  <c r="Z6" i="532"/>
  <c r="Y6" i="532"/>
  <c r="Z5" i="532"/>
  <c r="Y5" i="532"/>
  <c r="V1" i="532"/>
  <c r="T1" i="532" s="1"/>
  <c r="R1" i="532"/>
  <c r="A2" i="532" s="1"/>
  <c r="D2" i="532" s="1"/>
  <c r="G2" i="532" s="1"/>
  <c r="J2" i="532" s="1"/>
  <c r="M2" i="532" s="1"/>
  <c r="P2" i="532" s="1"/>
  <c r="S2" i="532" s="1"/>
  <c r="E1" i="532"/>
  <c r="B46" i="383"/>
  <c r="V26" i="531"/>
  <c r="U37" i="531"/>
  <c r="R37" i="531"/>
  <c r="O37" i="531"/>
  <c r="L37" i="531"/>
  <c r="I37" i="531"/>
  <c r="F37" i="531"/>
  <c r="V35" i="531" s="1"/>
  <c r="V32" i="531" s="1"/>
  <c r="C37" i="531"/>
  <c r="V20" i="531"/>
  <c r="Z18" i="531"/>
  <c r="Z17" i="531"/>
  <c r="Z16" i="531"/>
  <c r="Z15" i="531"/>
  <c r="Z13" i="531"/>
  <c r="Y13" i="531"/>
  <c r="AP12" i="531"/>
  <c r="AO12" i="531"/>
  <c r="AN12" i="531"/>
  <c r="AM12" i="531"/>
  <c r="AL12" i="531"/>
  <c r="AK12" i="531"/>
  <c r="AJ12" i="531"/>
  <c r="AI12" i="531"/>
  <c r="AH12" i="531"/>
  <c r="Z12" i="531"/>
  <c r="Y12" i="531"/>
  <c r="AP11" i="531"/>
  <c r="AO11" i="531"/>
  <c r="AN11" i="531"/>
  <c r="AM11" i="531"/>
  <c r="AL11" i="531"/>
  <c r="AK11" i="531"/>
  <c r="AJ11" i="531"/>
  <c r="AI11" i="531"/>
  <c r="AH11" i="531"/>
  <c r="Z11" i="531"/>
  <c r="Y11" i="531"/>
  <c r="AP10" i="531"/>
  <c r="AO10" i="531"/>
  <c r="AN10" i="531"/>
  <c r="AM10" i="531"/>
  <c r="AL10" i="531"/>
  <c r="AK10" i="531"/>
  <c r="AJ10" i="531"/>
  <c r="AI10" i="531"/>
  <c r="AH10" i="531"/>
  <c r="Z10" i="531"/>
  <c r="Y10" i="531"/>
  <c r="AP9" i="531"/>
  <c r="AO9" i="531"/>
  <c r="AN9" i="531"/>
  <c r="AM9" i="531"/>
  <c r="AL9" i="531"/>
  <c r="AK9" i="531"/>
  <c r="AJ9" i="531"/>
  <c r="AI9" i="531"/>
  <c r="AH9" i="531"/>
  <c r="Z9" i="531"/>
  <c r="Y9" i="531"/>
  <c r="AP8" i="531"/>
  <c r="AO8" i="531"/>
  <c r="AN8" i="531"/>
  <c r="AM8" i="531"/>
  <c r="AL8" i="531"/>
  <c r="AK8" i="531"/>
  <c r="AJ8" i="531"/>
  <c r="AI8" i="531"/>
  <c r="AH8" i="531"/>
  <c r="Z8" i="531"/>
  <c r="Y8" i="531"/>
  <c r="AP7" i="531"/>
  <c r="AO7" i="531"/>
  <c r="AN7" i="531"/>
  <c r="AM7" i="531"/>
  <c r="AL7" i="531"/>
  <c r="AK7" i="531"/>
  <c r="AJ7" i="531"/>
  <c r="AI7" i="531"/>
  <c r="AH7" i="531"/>
  <c r="Z7" i="531"/>
  <c r="Y7" i="531"/>
  <c r="AP6" i="531"/>
  <c r="AO6" i="531"/>
  <c r="AN6" i="531"/>
  <c r="AM6" i="531"/>
  <c r="AL6" i="531"/>
  <c r="AK6" i="531"/>
  <c r="AJ6" i="531"/>
  <c r="AI6" i="531"/>
  <c r="AH6" i="531"/>
  <c r="Z6" i="531"/>
  <c r="Y6" i="531"/>
  <c r="Z5" i="531"/>
  <c r="Y5" i="531"/>
  <c r="V1" i="531"/>
  <c r="T1" i="531" s="1"/>
  <c r="E1" i="531"/>
  <c r="B45" i="383"/>
  <c r="V26" i="530"/>
  <c r="U37" i="530"/>
  <c r="R37" i="530"/>
  <c r="O37" i="530"/>
  <c r="L37" i="530"/>
  <c r="I37" i="530"/>
  <c r="V35" i="530" s="1"/>
  <c r="V32" i="530" s="1"/>
  <c r="F37" i="530"/>
  <c r="C37" i="530"/>
  <c r="V20" i="530"/>
  <c r="Z18" i="530"/>
  <c r="Z17" i="530"/>
  <c r="Z16" i="530"/>
  <c r="Z15" i="530"/>
  <c r="Z13" i="530"/>
  <c r="Y13" i="530"/>
  <c r="AP12" i="530"/>
  <c r="AO12" i="530"/>
  <c r="AN12" i="530"/>
  <c r="AM12" i="530"/>
  <c r="AL12" i="530"/>
  <c r="AK12" i="530"/>
  <c r="AJ12" i="530"/>
  <c r="AI12" i="530"/>
  <c r="AH12" i="530"/>
  <c r="Z12" i="530"/>
  <c r="Y12" i="530"/>
  <c r="AP11" i="530"/>
  <c r="AO11" i="530"/>
  <c r="AN11" i="530"/>
  <c r="AM11" i="530"/>
  <c r="AL11" i="530"/>
  <c r="AK11" i="530"/>
  <c r="AJ11" i="530"/>
  <c r="AI11" i="530"/>
  <c r="AH11" i="530"/>
  <c r="Z11" i="530"/>
  <c r="Y11" i="530"/>
  <c r="AP10" i="530"/>
  <c r="AO10" i="530"/>
  <c r="AN10" i="530"/>
  <c r="AM10" i="530"/>
  <c r="AL10" i="530"/>
  <c r="AK10" i="530"/>
  <c r="AJ10" i="530"/>
  <c r="AI10" i="530"/>
  <c r="AH10" i="530"/>
  <c r="Z10" i="530"/>
  <c r="Y10" i="530"/>
  <c r="AP9" i="530"/>
  <c r="AO9" i="530"/>
  <c r="AN9" i="530"/>
  <c r="AM9" i="530"/>
  <c r="AL9" i="530"/>
  <c r="AK9" i="530"/>
  <c r="AJ9" i="530"/>
  <c r="AI9" i="530"/>
  <c r="AH9" i="530"/>
  <c r="Z9" i="530"/>
  <c r="Y9" i="530"/>
  <c r="AP8" i="530"/>
  <c r="AO8" i="530"/>
  <c r="AN8" i="530"/>
  <c r="AM8" i="530"/>
  <c r="AL8" i="530"/>
  <c r="AK8" i="530"/>
  <c r="AJ8" i="530"/>
  <c r="AI8" i="530"/>
  <c r="AH8" i="530"/>
  <c r="Z8" i="530"/>
  <c r="Y8" i="530"/>
  <c r="AP7" i="530"/>
  <c r="AO7" i="530"/>
  <c r="AN7" i="530"/>
  <c r="AM7" i="530"/>
  <c r="AL7" i="530"/>
  <c r="AK7" i="530"/>
  <c r="AJ7" i="530"/>
  <c r="AI7" i="530"/>
  <c r="AH7" i="530"/>
  <c r="Z7" i="530"/>
  <c r="Y7" i="530"/>
  <c r="AP6" i="530"/>
  <c r="AO6" i="530"/>
  <c r="AN6" i="530"/>
  <c r="AM6" i="530"/>
  <c r="AL6" i="530"/>
  <c r="AK6" i="530"/>
  <c r="AJ6" i="530"/>
  <c r="AI6" i="530"/>
  <c r="AH6" i="530"/>
  <c r="Z6" i="530"/>
  <c r="Y6" i="530"/>
  <c r="Z5" i="530"/>
  <c r="Y5" i="530"/>
  <c r="A2" i="530"/>
  <c r="D2" i="530" s="1"/>
  <c r="G2" i="530" s="1"/>
  <c r="J2" i="530" s="1"/>
  <c r="M2" i="530" s="1"/>
  <c r="P2" i="530" s="1"/>
  <c r="S2" i="530" s="1"/>
  <c r="V1" i="530"/>
  <c r="T1" i="530" s="1"/>
  <c r="R1" i="530"/>
  <c r="A3" i="530" s="1"/>
  <c r="E1" i="530"/>
  <c r="B44" i="383"/>
  <c r="V26" i="529"/>
  <c r="U37" i="529"/>
  <c r="R37" i="529"/>
  <c r="O37" i="529"/>
  <c r="L37" i="529"/>
  <c r="I37" i="529"/>
  <c r="F37" i="529"/>
  <c r="C37" i="529"/>
  <c r="V35" i="529" s="1"/>
  <c r="V32" i="529" s="1"/>
  <c r="V20" i="529"/>
  <c r="Z18" i="529"/>
  <c r="Z17" i="529"/>
  <c r="Z16" i="529"/>
  <c r="Z15" i="529"/>
  <c r="Z13" i="529"/>
  <c r="Y13" i="529"/>
  <c r="AP12" i="529"/>
  <c r="AO12" i="529"/>
  <c r="AN12" i="529"/>
  <c r="AM12" i="529"/>
  <c r="AL12" i="529"/>
  <c r="AK12" i="529"/>
  <c r="AJ12" i="529"/>
  <c r="AI12" i="529"/>
  <c r="AH12" i="529"/>
  <c r="Z12" i="529"/>
  <c r="Y12" i="529"/>
  <c r="AP11" i="529"/>
  <c r="AO11" i="529"/>
  <c r="AN11" i="529"/>
  <c r="AM11" i="529"/>
  <c r="AL11" i="529"/>
  <c r="AK11" i="529"/>
  <c r="AJ11" i="529"/>
  <c r="AI11" i="529"/>
  <c r="AH11" i="529"/>
  <c r="Z11" i="529"/>
  <c r="Y11" i="529"/>
  <c r="AP10" i="529"/>
  <c r="AO10" i="529"/>
  <c r="AN10" i="529"/>
  <c r="AM10" i="529"/>
  <c r="AL10" i="529"/>
  <c r="AK10" i="529"/>
  <c r="AJ10" i="529"/>
  <c r="AI10" i="529"/>
  <c r="AH10" i="529"/>
  <c r="Z10" i="529"/>
  <c r="Y10" i="529"/>
  <c r="AP9" i="529"/>
  <c r="AO9" i="529"/>
  <c r="AN9" i="529"/>
  <c r="AM9" i="529"/>
  <c r="AL9" i="529"/>
  <c r="AK9" i="529"/>
  <c r="AJ9" i="529"/>
  <c r="AI9" i="529"/>
  <c r="AH9" i="529"/>
  <c r="Z9" i="529"/>
  <c r="Y9" i="529"/>
  <c r="AP8" i="529"/>
  <c r="AO8" i="529"/>
  <c r="AN8" i="529"/>
  <c r="AM8" i="529"/>
  <c r="AL8" i="529"/>
  <c r="AK8" i="529"/>
  <c r="AJ8" i="529"/>
  <c r="AI8" i="529"/>
  <c r="AH8" i="529"/>
  <c r="Z8" i="529"/>
  <c r="Y8" i="529"/>
  <c r="AP7" i="529"/>
  <c r="AO7" i="529"/>
  <c r="AN7" i="529"/>
  <c r="AM7" i="529"/>
  <c r="AL7" i="529"/>
  <c r="AK7" i="529"/>
  <c r="AJ7" i="529"/>
  <c r="AI7" i="529"/>
  <c r="AH7" i="529"/>
  <c r="Z7" i="529"/>
  <c r="Y7" i="529"/>
  <c r="AP6" i="529"/>
  <c r="AO6" i="529"/>
  <c r="AN6" i="529"/>
  <c r="AM6" i="529"/>
  <c r="AL6" i="529"/>
  <c r="AK6" i="529"/>
  <c r="AJ6" i="529"/>
  <c r="AI6" i="529"/>
  <c r="AH6" i="529"/>
  <c r="Z6" i="529"/>
  <c r="Y6" i="529"/>
  <c r="Z5" i="529"/>
  <c r="Y5" i="529"/>
  <c r="V1" i="529"/>
  <c r="T1" i="529" s="1"/>
  <c r="E1" i="529"/>
  <c r="B43" i="383"/>
  <c r="V26" i="528"/>
  <c r="U37" i="528"/>
  <c r="R37" i="528"/>
  <c r="O37" i="528"/>
  <c r="L37" i="528"/>
  <c r="I37" i="528"/>
  <c r="F37" i="528"/>
  <c r="C37" i="528"/>
  <c r="V35" i="528" s="1"/>
  <c r="V32" i="528" s="1"/>
  <c r="V20" i="528"/>
  <c r="Z18" i="528"/>
  <c r="Z17" i="528"/>
  <c r="Z16" i="528"/>
  <c r="Z15" i="528"/>
  <c r="Z13" i="528"/>
  <c r="Y13" i="528"/>
  <c r="AP12" i="528"/>
  <c r="AO12" i="528"/>
  <c r="AN12" i="528"/>
  <c r="AM12" i="528"/>
  <c r="AL12" i="528"/>
  <c r="AK12" i="528"/>
  <c r="AJ12" i="528"/>
  <c r="AI12" i="528"/>
  <c r="AH12" i="528"/>
  <c r="Z12" i="528"/>
  <c r="Y12" i="528"/>
  <c r="AP11" i="528"/>
  <c r="AO11" i="528"/>
  <c r="AN11" i="528"/>
  <c r="AM11" i="528"/>
  <c r="AL11" i="528"/>
  <c r="AK11" i="528"/>
  <c r="AJ11" i="528"/>
  <c r="AI11" i="528"/>
  <c r="AH11" i="528"/>
  <c r="Z11" i="528"/>
  <c r="Y11" i="528"/>
  <c r="AP10" i="528"/>
  <c r="AO10" i="528"/>
  <c r="AN10" i="528"/>
  <c r="AM10" i="528"/>
  <c r="AL10" i="528"/>
  <c r="AK10" i="528"/>
  <c r="AJ10" i="528"/>
  <c r="AI10" i="528"/>
  <c r="AH10" i="528"/>
  <c r="Z10" i="528"/>
  <c r="Y10" i="528"/>
  <c r="AP9" i="528"/>
  <c r="AO9" i="528"/>
  <c r="AN9" i="528"/>
  <c r="AM9" i="528"/>
  <c r="AL9" i="528"/>
  <c r="AK9" i="528"/>
  <c r="AJ9" i="528"/>
  <c r="AI9" i="528"/>
  <c r="AH9" i="528"/>
  <c r="Z9" i="528"/>
  <c r="Y9" i="528"/>
  <c r="AP8" i="528"/>
  <c r="AO8" i="528"/>
  <c r="AN8" i="528"/>
  <c r="AM8" i="528"/>
  <c r="AL8" i="528"/>
  <c r="AK8" i="528"/>
  <c r="AJ8" i="528"/>
  <c r="AI8" i="528"/>
  <c r="AH8" i="528"/>
  <c r="Z8" i="528"/>
  <c r="Y8" i="528"/>
  <c r="AP7" i="528"/>
  <c r="AO7" i="528"/>
  <c r="AN7" i="528"/>
  <c r="AM7" i="528"/>
  <c r="AL7" i="528"/>
  <c r="AK7" i="528"/>
  <c r="AJ7" i="528"/>
  <c r="AI7" i="528"/>
  <c r="AH7" i="528"/>
  <c r="Z7" i="528"/>
  <c r="Y7" i="528"/>
  <c r="AP6" i="528"/>
  <c r="AO6" i="528"/>
  <c r="AN6" i="528"/>
  <c r="AM6" i="528"/>
  <c r="AL6" i="528"/>
  <c r="AK6" i="528"/>
  <c r="AJ6" i="528"/>
  <c r="AI6" i="528"/>
  <c r="AH6" i="528"/>
  <c r="Z6" i="528"/>
  <c r="Y6" i="528"/>
  <c r="Z5" i="528"/>
  <c r="Y5" i="528"/>
  <c r="V1" i="528"/>
  <c r="T1" i="528" s="1"/>
  <c r="E1" i="528"/>
  <c r="B42" i="383"/>
  <c r="V26" i="527"/>
  <c r="U37" i="527"/>
  <c r="R37" i="527"/>
  <c r="O37" i="527"/>
  <c r="L37" i="527"/>
  <c r="I37" i="527"/>
  <c r="F37" i="527"/>
  <c r="C37" i="527"/>
  <c r="V35" i="527" s="1"/>
  <c r="V32" i="527" s="1"/>
  <c r="V20" i="527"/>
  <c r="Z18" i="527"/>
  <c r="Z17" i="527"/>
  <c r="Z16" i="527"/>
  <c r="Z15" i="527"/>
  <c r="Z13" i="527"/>
  <c r="Y13" i="527"/>
  <c r="AP12" i="527"/>
  <c r="AO12" i="527"/>
  <c r="AN12" i="527"/>
  <c r="AM12" i="527"/>
  <c r="AL12" i="527"/>
  <c r="AK12" i="527"/>
  <c r="AJ12" i="527"/>
  <c r="AI12" i="527"/>
  <c r="AH12" i="527"/>
  <c r="Z12" i="527"/>
  <c r="Y12" i="527"/>
  <c r="AP11" i="527"/>
  <c r="AO11" i="527"/>
  <c r="AN11" i="527"/>
  <c r="AM11" i="527"/>
  <c r="AL11" i="527"/>
  <c r="AK11" i="527"/>
  <c r="AJ11" i="527"/>
  <c r="AI11" i="527"/>
  <c r="AH11" i="527"/>
  <c r="Z11" i="527"/>
  <c r="Y11" i="527"/>
  <c r="AP10" i="527"/>
  <c r="AO10" i="527"/>
  <c r="AN10" i="527"/>
  <c r="AM10" i="527"/>
  <c r="AL10" i="527"/>
  <c r="AK10" i="527"/>
  <c r="AJ10" i="527"/>
  <c r="AI10" i="527"/>
  <c r="AH10" i="527"/>
  <c r="Z10" i="527"/>
  <c r="Y10" i="527"/>
  <c r="AP9" i="527"/>
  <c r="AO9" i="527"/>
  <c r="AN9" i="527"/>
  <c r="AM9" i="527"/>
  <c r="AL9" i="527"/>
  <c r="AK9" i="527"/>
  <c r="AJ9" i="527"/>
  <c r="AI9" i="527"/>
  <c r="AH9" i="527"/>
  <c r="Z9" i="527"/>
  <c r="Y9" i="527"/>
  <c r="AP8" i="527"/>
  <c r="AO8" i="527"/>
  <c r="AN8" i="527"/>
  <c r="AM8" i="527"/>
  <c r="AL8" i="527"/>
  <c r="AK8" i="527"/>
  <c r="AJ8" i="527"/>
  <c r="AI8" i="527"/>
  <c r="AH8" i="527"/>
  <c r="Z8" i="527"/>
  <c r="Y8" i="527"/>
  <c r="AP7" i="527"/>
  <c r="AO7" i="527"/>
  <c r="AN7" i="527"/>
  <c r="AM7" i="527"/>
  <c r="AL7" i="527"/>
  <c r="AK7" i="527"/>
  <c r="AJ7" i="527"/>
  <c r="AI7" i="527"/>
  <c r="AH7" i="527"/>
  <c r="Z7" i="527"/>
  <c r="Y7" i="527"/>
  <c r="AP6" i="527"/>
  <c r="AO6" i="527"/>
  <c r="AN6" i="527"/>
  <c r="AM6" i="527"/>
  <c r="AL6" i="527"/>
  <c r="AK6" i="527"/>
  <c r="AJ6" i="527"/>
  <c r="AI6" i="527"/>
  <c r="AH6" i="527"/>
  <c r="Z6" i="527"/>
  <c r="Y6" i="527"/>
  <c r="Z5" i="527"/>
  <c r="Y5" i="527"/>
  <c r="V1" i="527"/>
  <c r="T1" i="527" s="1"/>
  <c r="E1" i="527"/>
  <c r="B41" i="383"/>
  <c r="V26" i="526"/>
  <c r="U37" i="526"/>
  <c r="R37" i="526"/>
  <c r="O37" i="526"/>
  <c r="L37" i="526"/>
  <c r="I37" i="526"/>
  <c r="F37" i="526"/>
  <c r="C37" i="526"/>
  <c r="V35" i="526" s="1"/>
  <c r="V32" i="526" s="1"/>
  <c r="V20" i="526"/>
  <c r="Z18" i="526"/>
  <c r="Z17" i="526"/>
  <c r="Z16" i="526"/>
  <c r="Z15" i="526"/>
  <c r="Z13" i="526"/>
  <c r="Y13" i="526"/>
  <c r="AP12" i="526"/>
  <c r="AO12" i="526"/>
  <c r="AN12" i="526"/>
  <c r="AM12" i="526"/>
  <c r="AL12" i="526"/>
  <c r="AK12" i="526"/>
  <c r="AJ12" i="526"/>
  <c r="AI12" i="526"/>
  <c r="AH12" i="526"/>
  <c r="Z12" i="526"/>
  <c r="Y12" i="526"/>
  <c r="AP11" i="526"/>
  <c r="AO11" i="526"/>
  <c r="AN11" i="526"/>
  <c r="AM11" i="526"/>
  <c r="AL11" i="526"/>
  <c r="AK11" i="526"/>
  <c r="AJ11" i="526"/>
  <c r="AI11" i="526"/>
  <c r="AH11" i="526"/>
  <c r="Z11" i="526"/>
  <c r="Y11" i="526"/>
  <c r="AP10" i="526"/>
  <c r="AO10" i="526"/>
  <c r="AN10" i="526"/>
  <c r="AM10" i="526"/>
  <c r="AL10" i="526"/>
  <c r="AK10" i="526"/>
  <c r="AJ10" i="526"/>
  <c r="AI10" i="526"/>
  <c r="AH10" i="526"/>
  <c r="Z10" i="526"/>
  <c r="Y10" i="526"/>
  <c r="AP9" i="526"/>
  <c r="AO9" i="526"/>
  <c r="AN9" i="526"/>
  <c r="AM9" i="526"/>
  <c r="AL9" i="526"/>
  <c r="AK9" i="526"/>
  <c r="AJ9" i="526"/>
  <c r="AI9" i="526"/>
  <c r="AH9" i="526"/>
  <c r="Z9" i="526"/>
  <c r="Y9" i="526"/>
  <c r="AP8" i="526"/>
  <c r="AO8" i="526"/>
  <c r="AN8" i="526"/>
  <c r="AM8" i="526"/>
  <c r="AL8" i="526"/>
  <c r="AK8" i="526"/>
  <c r="AJ8" i="526"/>
  <c r="AI8" i="526"/>
  <c r="AH8" i="526"/>
  <c r="Z8" i="526"/>
  <c r="Y8" i="526"/>
  <c r="AP7" i="526"/>
  <c r="AO7" i="526"/>
  <c r="AN7" i="526"/>
  <c r="AM7" i="526"/>
  <c r="AL7" i="526"/>
  <c r="AK7" i="526"/>
  <c r="AJ7" i="526"/>
  <c r="AI7" i="526"/>
  <c r="AH7" i="526"/>
  <c r="Z7" i="526"/>
  <c r="Y7" i="526"/>
  <c r="AP6" i="526"/>
  <c r="AO6" i="526"/>
  <c r="AN6" i="526"/>
  <c r="AM6" i="526"/>
  <c r="AL6" i="526"/>
  <c r="AK6" i="526"/>
  <c r="AJ6" i="526"/>
  <c r="AI6" i="526"/>
  <c r="AH6" i="526"/>
  <c r="Z6" i="526"/>
  <c r="Y6" i="526"/>
  <c r="Z5" i="526"/>
  <c r="Y5" i="526"/>
  <c r="V1" i="526"/>
  <c r="T1" i="526" s="1"/>
  <c r="E1" i="526"/>
  <c r="B40" i="383"/>
  <c r="V26" i="525"/>
  <c r="U37" i="525"/>
  <c r="R37" i="525"/>
  <c r="O37" i="525"/>
  <c r="L37" i="525"/>
  <c r="I37" i="525"/>
  <c r="F37" i="525"/>
  <c r="V35" i="525" s="1"/>
  <c r="V32" i="525" s="1"/>
  <c r="C37" i="525"/>
  <c r="V20" i="525"/>
  <c r="Z18" i="525"/>
  <c r="Z17" i="525"/>
  <c r="Z16" i="525"/>
  <c r="Z15" i="525"/>
  <c r="Z13" i="525"/>
  <c r="Y13" i="525"/>
  <c r="AP12" i="525"/>
  <c r="AO12" i="525"/>
  <c r="AN12" i="525"/>
  <c r="AM12" i="525"/>
  <c r="AL12" i="525"/>
  <c r="AK12" i="525"/>
  <c r="AJ12" i="525"/>
  <c r="AI12" i="525"/>
  <c r="AH12" i="525"/>
  <c r="Z12" i="525"/>
  <c r="Y12" i="525"/>
  <c r="AP11" i="525"/>
  <c r="AO11" i="525"/>
  <c r="AN11" i="525"/>
  <c r="AM11" i="525"/>
  <c r="AL11" i="525"/>
  <c r="AK11" i="525"/>
  <c r="AJ11" i="525"/>
  <c r="AI11" i="525"/>
  <c r="AH11" i="525"/>
  <c r="Z11" i="525"/>
  <c r="Y11" i="525"/>
  <c r="AP10" i="525"/>
  <c r="AO10" i="525"/>
  <c r="AN10" i="525"/>
  <c r="AM10" i="525"/>
  <c r="AL10" i="525"/>
  <c r="AK10" i="525"/>
  <c r="AJ10" i="525"/>
  <c r="AI10" i="525"/>
  <c r="AH10" i="525"/>
  <c r="Z10" i="525"/>
  <c r="Y10" i="525"/>
  <c r="AP9" i="525"/>
  <c r="AO9" i="525"/>
  <c r="AN9" i="525"/>
  <c r="AM9" i="525"/>
  <c r="AL9" i="525"/>
  <c r="AK9" i="525"/>
  <c r="AJ9" i="525"/>
  <c r="AI9" i="525"/>
  <c r="AH9" i="525"/>
  <c r="Z9" i="525"/>
  <c r="Y9" i="525"/>
  <c r="AP8" i="525"/>
  <c r="AO8" i="525"/>
  <c r="AN8" i="525"/>
  <c r="AM8" i="525"/>
  <c r="AL8" i="525"/>
  <c r="AK8" i="525"/>
  <c r="AJ8" i="525"/>
  <c r="AI8" i="525"/>
  <c r="AH8" i="525"/>
  <c r="Z8" i="525"/>
  <c r="Y8" i="525"/>
  <c r="AP7" i="525"/>
  <c r="AO7" i="525"/>
  <c r="AN7" i="525"/>
  <c r="AM7" i="525"/>
  <c r="AL7" i="525"/>
  <c r="AK7" i="525"/>
  <c r="AJ7" i="525"/>
  <c r="AI7" i="525"/>
  <c r="AH7" i="525"/>
  <c r="Z7" i="525"/>
  <c r="Y7" i="525"/>
  <c r="AP6" i="525"/>
  <c r="AO6" i="525"/>
  <c r="AN6" i="525"/>
  <c r="AM6" i="525"/>
  <c r="AL6" i="525"/>
  <c r="AK6" i="525"/>
  <c r="AJ6" i="525"/>
  <c r="AI6" i="525"/>
  <c r="AH6" i="525"/>
  <c r="Z6" i="525"/>
  <c r="Y6" i="525"/>
  <c r="Z5" i="525"/>
  <c r="Y5" i="525"/>
  <c r="V1" i="525"/>
  <c r="T1" i="525" s="1"/>
  <c r="E1" i="525"/>
  <c r="B39" i="383"/>
  <c r="V26" i="524"/>
  <c r="U37" i="524"/>
  <c r="R37" i="524"/>
  <c r="O37" i="524"/>
  <c r="L37" i="524"/>
  <c r="I37" i="524"/>
  <c r="F37" i="524"/>
  <c r="C37" i="524"/>
  <c r="V35" i="524" s="1"/>
  <c r="V32" i="524" s="1"/>
  <c r="V20" i="524"/>
  <c r="Z18" i="524"/>
  <c r="Z17" i="524"/>
  <c r="Z16" i="524"/>
  <c r="Z15" i="524"/>
  <c r="Z13" i="524"/>
  <c r="Y13" i="524"/>
  <c r="AP12" i="524"/>
  <c r="AO12" i="524"/>
  <c r="AN12" i="524"/>
  <c r="AM12" i="524"/>
  <c r="AL12" i="524"/>
  <c r="AK12" i="524"/>
  <c r="AJ12" i="524"/>
  <c r="AI12" i="524"/>
  <c r="AH12" i="524"/>
  <c r="Z12" i="524"/>
  <c r="Y12" i="524"/>
  <c r="AP11" i="524"/>
  <c r="AO11" i="524"/>
  <c r="AN11" i="524"/>
  <c r="AM11" i="524"/>
  <c r="AL11" i="524"/>
  <c r="AK11" i="524"/>
  <c r="AJ11" i="524"/>
  <c r="AI11" i="524"/>
  <c r="AH11" i="524"/>
  <c r="Z11" i="524"/>
  <c r="Y11" i="524"/>
  <c r="AP10" i="524"/>
  <c r="AO10" i="524"/>
  <c r="AN10" i="524"/>
  <c r="AM10" i="524"/>
  <c r="AL10" i="524"/>
  <c r="AK10" i="524"/>
  <c r="AJ10" i="524"/>
  <c r="AI10" i="524"/>
  <c r="AH10" i="524"/>
  <c r="Z10" i="524"/>
  <c r="Y10" i="524"/>
  <c r="AP9" i="524"/>
  <c r="AO9" i="524"/>
  <c r="AN9" i="524"/>
  <c r="AM9" i="524"/>
  <c r="AL9" i="524"/>
  <c r="AK9" i="524"/>
  <c r="AJ9" i="524"/>
  <c r="AI9" i="524"/>
  <c r="AH9" i="524"/>
  <c r="Z9" i="524"/>
  <c r="Y9" i="524"/>
  <c r="AP8" i="524"/>
  <c r="AO8" i="524"/>
  <c r="AN8" i="524"/>
  <c r="AM8" i="524"/>
  <c r="AL8" i="524"/>
  <c r="AK8" i="524"/>
  <c r="AJ8" i="524"/>
  <c r="AI8" i="524"/>
  <c r="AH8" i="524"/>
  <c r="Z8" i="524"/>
  <c r="Y8" i="524"/>
  <c r="AP7" i="524"/>
  <c r="AO7" i="524"/>
  <c r="AN7" i="524"/>
  <c r="AM7" i="524"/>
  <c r="AL7" i="524"/>
  <c r="AK7" i="524"/>
  <c r="AJ7" i="524"/>
  <c r="AI7" i="524"/>
  <c r="AH7" i="524"/>
  <c r="Z7" i="524"/>
  <c r="Y7" i="524"/>
  <c r="AP6" i="524"/>
  <c r="AO6" i="524"/>
  <c r="AN6" i="524"/>
  <c r="AM6" i="524"/>
  <c r="AL6" i="524"/>
  <c r="AK6" i="524"/>
  <c r="AJ6" i="524"/>
  <c r="AI6" i="524"/>
  <c r="AH6" i="524"/>
  <c r="Z6" i="524"/>
  <c r="Y6" i="524"/>
  <c r="Z5" i="524"/>
  <c r="Y5" i="524"/>
  <c r="V1" i="524"/>
  <c r="T1" i="524" s="1"/>
  <c r="E1" i="524"/>
  <c r="B38" i="383"/>
  <c r="V26" i="523"/>
  <c r="U37" i="523"/>
  <c r="R37" i="523"/>
  <c r="O37" i="523"/>
  <c r="L37" i="523"/>
  <c r="I37" i="523"/>
  <c r="F37" i="523"/>
  <c r="C37" i="523"/>
  <c r="V35" i="523" s="1"/>
  <c r="V32" i="523" s="1"/>
  <c r="V20" i="523"/>
  <c r="Z18" i="523"/>
  <c r="Z17" i="523"/>
  <c r="Z16" i="523"/>
  <c r="Z15" i="523"/>
  <c r="Z13" i="523"/>
  <c r="Y13" i="523"/>
  <c r="AP12" i="523"/>
  <c r="AO12" i="523"/>
  <c r="AN12" i="523"/>
  <c r="AM12" i="523"/>
  <c r="AL12" i="523"/>
  <c r="AK12" i="523"/>
  <c r="AJ12" i="523"/>
  <c r="AI12" i="523"/>
  <c r="AH12" i="523"/>
  <c r="Z12" i="523"/>
  <c r="Y12" i="523"/>
  <c r="AP11" i="523"/>
  <c r="AO11" i="523"/>
  <c r="AN11" i="523"/>
  <c r="AM11" i="523"/>
  <c r="AL11" i="523"/>
  <c r="AK11" i="523"/>
  <c r="AJ11" i="523"/>
  <c r="AI11" i="523"/>
  <c r="AH11" i="523"/>
  <c r="Z11" i="523"/>
  <c r="Y11" i="523"/>
  <c r="AP10" i="523"/>
  <c r="AO10" i="523"/>
  <c r="AN10" i="523"/>
  <c r="AM10" i="523"/>
  <c r="AL10" i="523"/>
  <c r="AK10" i="523"/>
  <c r="AJ10" i="523"/>
  <c r="AI10" i="523"/>
  <c r="AH10" i="523"/>
  <c r="Z10" i="523"/>
  <c r="Y10" i="523"/>
  <c r="AP9" i="523"/>
  <c r="AO9" i="523"/>
  <c r="AN9" i="523"/>
  <c r="AM9" i="523"/>
  <c r="AL9" i="523"/>
  <c r="AK9" i="523"/>
  <c r="AJ9" i="523"/>
  <c r="AI9" i="523"/>
  <c r="AH9" i="523"/>
  <c r="Z9" i="523"/>
  <c r="Y9" i="523"/>
  <c r="AP8" i="523"/>
  <c r="AO8" i="523"/>
  <c r="AN8" i="523"/>
  <c r="AM8" i="523"/>
  <c r="AL8" i="523"/>
  <c r="AK8" i="523"/>
  <c r="AJ8" i="523"/>
  <c r="AI8" i="523"/>
  <c r="AH8" i="523"/>
  <c r="Z8" i="523"/>
  <c r="Y8" i="523"/>
  <c r="AP7" i="523"/>
  <c r="AO7" i="523"/>
  <c r="AN7" i="523"/>
  <c r="AM7" i="523"/>
  <c r="AL7" i="523"/>
  <c r="AK7" i="523"/>
  <c r="AJ7" i="523"/>
  <c r="AI7" i="523"/>
  <c r="AH7" i="523"/>
  <c r="Z7" i="523"/>
  <c r="Y7" i="523"/>
  <c r="AP6" i="523"/>
  <c r="AO6" i="523"/>
  <c r="AN6" i="523"/>
  <c r="AM6" i="523"/>
  <c r="AL6" i="523"/>
  <c r="AK6" i="523"/>
  <c r="AJ6" i="523"/>
  <c r="AI6" i="523"/>
  <c r="AH6" i="523"/>
  <c r="Z6" i="523"/>
  <c r="Y6" i="523"/>
  <c r="Z5" i="523"/>
  <c r="Y5" i="523"/>
  <c r="V1" i="523"/>
  <c r="R1" i="523" s="1"/>
  <c r="T1" i="523"/>
  <c r="E1" i="523"/>
  <c r="B37" i="383"/>
  <c r="V26" i="522"/>
  <c r="U37" i="522"/>
  <c r="R37" i="522"/>
  <c r="O37" i="522"/>
  <c r="L37" i="522"/>
  <c r="I37" i="522"/>
  <c r="F37" i="522"/>
  <c r="V35" i="522" s="1"/>
  <c r="V32" i="522" s="1"/>
  <c r="C37" i="522"/>
  <c r="V20" i="522"/>
  <c r="Z18" i="522"/>
  <c r="Z17" i="522"/>
  <c r="Z16" i="522"/>
  <c r="Z15" i="522"/>
  <c r="Z13" i="522"/>
  <c r="Y13" i="522"/>
  <c r="AP12" i="522"/>
  <c r="AO12" i="522"/>
  <c r="AN12" i="522"/>
  <c r="AM12" i="522"/>
  <c r="AL12" i="522"/>
  <c r="AK12" i="522"/>
  <c r="AJ12" i="522"/>
  <c r="AI12" i="522"/>
  <c r="AH12" i="522"/>
  <c r="Z12" i="522"/>
  <c r="Y12" i="522"/>
  <c r="AP11" i="522"/>
  <c r="AO11" i="522"/>
  <c r="AN11" i="522"/>
  <c r="AM11" i="522"/>
  <c r="AL11" i="522"/>
  <c r="AK11" i="522"/>
  <c r="AJ11" i="522"/>
  <c r="AI11" i="522"/>
  <c r="AH11" i="522"/>
  <c r="Z11" i="522"/>
  <c r="Y11" i="522"/>
  <c r="AP10" i="522"/>
  <c r="AO10" i="522"/>
  <c r="AN10" i="522"/>
  <c r="AM10" i="522"/>
  <c r="AL10" i="522"/>
  <c r="AK10" i="522"/>
  <c r="AJ10" i="522"/>
  <c r="AI10" i="522"/>
  <c r="AH10" i="522"/>
  <c r="Z10" i="522"/>
  <c r="Y10" i="522"/>
  <c r="AP9" i="522"/>
  <c r="AO9" i="522"/>
  <c r="AN9" i="522"/>
  <c r="AM9" i="522"/>
  <c r="AL9" i="522"/>
  <c r="AK9" i="522"/>
  <c r="AJ9" i="522"/>
  <c r="AI9" i="522"/>
  <c r="AH9" i="522"/>
  <c r="Z9" i="522"/>
  <c r="Y9" i="522"/>
  <c r="AP8" i="522"/>
  <c r="AO8" i="522"/>
  <c r="AN8" i="522"/>
  <c r="AM8" i="522"/>
  <c r="AL8" i="522"/>
  <c r="AK8" i="522"/>
  <c r="AJ8" i="522"/>
  <c r="AI8" i="522"/>
  <c r="AH8" i="522"/>
  <c r="Z8" i="522"/>
  <c r="Y8" i="522"/>
  <c r="AP7" i="522"/>
  <c r="AO7" i="522"/>
  <c r="AN7" i="522"/>
  <c r="AM7" i="522"/>
  <c r="AL7" i="522"/>
  <c r="AK7" i="522"/>
  <c r="AJ7" i="522"/>
  <c r="AI7" i="522"/>
  <c r="AH7" i="522"/>
  <c r="Z7" i="522"/>
  <c r="Y7" i="522"/>
  <c r="AP6" i="522"/>
  <c r="AO6" i="522"/>
  <c r="AN6" i="522"/>
  <c r="AM6" i="522"/>
  <c r="AL6" i="522"/>
  <c r="AK6" i="522"/>
  <c r="AJ6" i="522"/>
  <c r="AI6" i="522"/>
  <c r="AH6" i="522"/>
  <c r="Z6" i="522"/>
  <c r="Y6" i="522"/>
  <c r="Z5" i="522"/>
  <c r="Y5" i="522"/>
  <c r="V1" i="522"/>
  <c r="T1" i="522" s="1"/>
  <c r="E1" i="522"/>
  <c r="B36" i="383"/>
  <c r="V26" i="521"/>
  <c r="U37" i="521"/>
  <c r="R37" i="521"/>
  <c r="O37" i="521"/>
  <c r="L37" i="521"/>
  <c r="I37" i="521"/>
  <c r="F37" i="521"/>
  <c r="C37" i="521"/>
  <c r="V35" i="521" s="1"/>
  <c r="V32" i="521" s="1"/>
  <c r="V20" i="521"/>
  <c r="Z18" i="521"/>
  <c r="Z17" i="521"/>
  <c r="Z16" i="521"/>
  <c r="Z15" i="521"/>
  <c r="Z13" i="521"/>
  <c r="Y13" i="521"/>
  <c r="AP12" i="521"/>
  <c r="AO12" i="521"/>
  <c r="AN12" i="521"/>
  <c r="AM12" i="521"/>
  <c r="AL12" i="521"/>
  <c r="AK12" i="521"/>
  <c r="AJ12" i="521"/>
  <c r="AI12" i="521"/>
  <c r="AH12" i="521"/>
  <c r="Z12" i="521"/>
  <c r="Y12" i="521"/>
  <c r="AP11" i="521"/>
  <c r="AO11" i="521"/>
  <c r="AN11" i="521"/>
  <c r="AM11" i="521"/>
  <c r="AL11" i="521"/>
  <c r="AK11" i="521"/>
  <c r="AJ11" i="521"/>
  <c r="AI11" i="521"/>
  <c r="AH11" i="521"/>
  <c r="Z11" i="521"/>
  <c r="Y11" i="521"/>
  <c r="AP10" i="521"/>
  <c r="AO10" i="521"/>
  <c r="AN10" i="521"/>
  <c r="AM10" i="521"/>
  <c r="AL10" i="521"/>
  <c r="AK10" i="521"/>
  <c r="AJ10" i="521"/>
  <c r="AI10" i="521"/>
  <c r="AH10" i="521"/>
  <c r="Z10" i="521"/>
  <c r="Y10" i="521"/>
  <c r="AP9" i="521"/>
  <c r="AO9" i="521"/>
  <c r="AN9" i="521"/>
  <c r="AM9" i="521"/>
  <c r="AL9" i="521"/>
  <c r="AK9" i="521"/>
  <c r="AJ9" i="521"/>
  <c r="AI9" i="521"/>
  <c r="AH9" i="521"/>
  <c r="Z9" i="521"/>
  <c r="Y9" i="521"/>
  <c r="AP8" i="521"/>
  <c r="AO8" i="521"/>
  <c r="AN8" i="521"/>
  <c r="AM8" i="521"/>
  <c r="AL8" i="521"/>
  <c r="AK8" i="521"/>
  <c r="AJ8" i="521"/>
  <c r="AI8" i="521"/>
  <c r="AH8" i="521"/>
  <c r="Z8" i="521"/>
  <c r="Y8" i="521"/>
  <c r="AP7" i="521"/>
  <c r="AO7" i="521"/>
  <c r="AN7" i="521"/>
  <c r="AM7" i="521"/>
  <c r="AL7" i="521"/>
  <c r="AK7" i="521"/>
  <c r="AJ7" i="521"/>
  <c r="AI7" i="521"/>
  <c r="AH7" i="521"/>
  <c r="Z7" i="521"/>
  <c r="Y7" i="521"/>
  <c r="AP6" i="521"/>
  <c r="AO6" i="521"/>
  <c r="AN6" i="521"/>
  <c r="AM6" i="521"/>
  <c r="AL6" i="521"/>
  <c r="AK6" i="521"/>
  <c r="AJ6" i="521"/>
  <c r="AI6" i="521"/>
  <c r="AH6" i="521"/>
  <c r="Z6" i="521"/>
  <c r="Y6" i="521"/>
  <c r="Z5" i="521"/>
  <c r="Y5" i="521"/>
  <c r="V1" i="521"/>
  <c r="T1" i="521" s="1"/>
  <c r="E1" i="521"/>
  <c r="B35" i="383"/>
  <c r="V26" i="520"/>
  <c r="U37" i="520"/>
  <c r="R37" i="520"/>
  <c r="O37" i="520"/>
  <c r="L37" i="520"/>
  <c r="I37" i="520"/>
  <c r="F37" i="520"/>
  <c r="C37" i="520"/>
  <c r="V35" i="520" s="1"/>
  <c r="V32" i="520" s="1"/>
  <c r="V20" i="520"/>
  <c r="Z18" i="520"/>
  <c r="Z17" i="520"/>
  <c r="Z16" i="520"/>
  <c r="Z15" i="520"/>
  <c r="Z13" i="520"/>
  <c r="Y13" i="520"/>
  <c r="AP12" i="520"/>
  <c r="AO12" i="520"/>
  <c r="AN12" i="520"/>
  <c r="AM12" i="520"/>
  <c r="AL12" i="520"/>
  <c r="AK12" i="520"/>
  <c r="AJ12" i="520"/>
  <c r="AI12" i="520"/>
  <c r="AH12" i="520"/>
  <c r="Z12" i="520"/>
  <c r="Y12" i="520"/>
  <c r="AP11" i="520"/>
  <c r="AO11" i="520"/>
  <c r="AN11" i="520"/>
  <c r="AM11" i="520"/>
  <c r="AL11" i="520"/>
  <c r="AK11" i="520"/>
  <c r="AJ11" i="520"/>
  <c r="AI11" i="520"/>
  <c r="AH11" i="520"/>
  <c r="Z11" i="520"/>
  <c r="Y11" i="520"/>
  <c r="AP10" i="520"/>
  <c r="AO10" i="520"/>
  <c r="AN10" i="520"/>
  <c r="AM10" i="520"/>
  <c r="AL10" i="520"/>
  <c r="AK10" i="520"/>
  <c r="AJ10" i="520"/>
  <c r="AI10" i="520"/>
  <c r="AH10" i="520"/>
  <c r="Z10" i="520"/>
  <c r="Y10" i="520"/>
  <c r="AP9" i="520"/>
  <c r="AO9" i="520"/>
  <c r="AN9" i="520"/>
  <c r="AM9" i="520"/>
  <c r="AL9" i="520"/>
  <c r="AK9" i="520"/>
  <c r="AJ9" i="520"/>
  <c r="AI9" i="520"/>
  <c r="AH9" i="520"/>
  <c r="Z9" i="520"/>
  <c r="Y9" i="520"/>
  <c r="AP8" i="520"/>
  <c r="AO8" i="520"/>
  <c r="AN8" i="520"/>
  <c r="AM8" i="520"/>
  <c r="AL8" i="520"/>
  <c r="AK8" i="520"/>
  <c r="AJ8" i="520"/>
  <c r="AI8" i="520"/>
  <c r="AH8" i="520"/>
  <c r="Z8" i="520"/>
  <c r="Y8" i="520"/>
  <c r="AP7" i="520"/>
  <c r="AO7" i="520"/>
  <c r="AN7" i="520"/>
  <c r="AM7" i="520"/>
  <c r="AL7" i="520"/>
  <c r="AK7" i="520"/>
  <c r="AJ7" i="520"/>
  <c r="AI7" i="520"/>
  <c r="AH7" i="520"/>
  <c r="Z7" i="520"/>
  <c r="Y7" i="520"/>
  <c r="AP6" i="520"/>
  <c r="AO6" i="520"/>
  <c r="AN6" i="520"/>
  <c r="AM6" i="520"/>
  <c r="AL6" i="520"/>
  <c r="AK6" i="520"/>
  <c r="AJ6" i="520"/>
  <c r="AI6" i="520"/>
  <c r="AH6" i="520"/>
  <c r="Z6" i="520"/>
  <c r="Y6" i="520"/>
  <c r="Z5" i="520"/>
  <c r="Y5" i="520"/>
  <c r="V1" i="520"/>
  <c r="T1" i="520" s="1"/>
  <c r="E1" i="520"/>
  <c r="B34" i="383"/>
  <c r="V26" i="519"/>
  <c r="U37" i="519"/>
  <c r="R37" i="519"/>
  <c r="O37" i="519"/>
  <c r="L37" i="519"/>
  <c r="I37" i="519"/>
  <c r="F37" i="519"/>
  <c r="C37" i="519"/>
  <c r="V35" i="519" s="1"/>
  <c r="V32" i="519" s="1"/>
  <c r="V20" i="519"/>
  <c r="Z18" i="519"/>
  <c r="Z17" i="519"/>
  <c r="Z16" i="519"/>
  <c r="Z15" i="519"/>
  <c r="Z13" i="519"/>
  <c r="Y13" i="519"/>
  <c r="AP12" i="519"/>
  <c r="AO12" i="519"/>
  <c r="AN12" i="519"/>
  <c r="AM12" i="519"/>
  <c r="AL12" i="519"/>
  <c r="AK12" i="519"/>
  <c r="AJ12" i="519"/>
  <c r="AI12" i="519"/>
  <c r="AH12" i="519"/>
  <c r="Z12" i="519"/>
  <c r="Y12" i="519"/>
  <c r="AP11" i="519"/>
  <c r="AO11" i="519"/>
  <c r="AN11" i="519"/>
  <c r="AM11" i="519"/>
  <c r="AL11" i="519"/>
  <c r="AK11" i="519"/>
  <c r="AJ11" i="519"/>
  <c r="AI11" i="519"/>
  <c r="AH11" i="519"/>
  <c r="Z11" i="519"/>
  <c r="Y11" i="519"/>
  <c r="AP10" i="519"/>
  <c r="AO10" i="519"/>
  <c r="AN10" i="519"/>
  <c r="AM10" i="519"/>
  <c r="AL10" i="519"/>
  <c r="AK10" i="519"/>
  <c r="AJ10" i="519"/>
  <c r="AI10" i="519"/>
  <c r="AH10" i="519"/>
  <c r="Z10" i="519"/>
  <c r="Y10" i="519"/>
  <c r="AP9" i="519"/>
  <c r="AO9" i="519"/>
  <c r="AN9" i="519"/>
  <c r="AM9" i="519"/>
  <c r="AL9" i="519"/>
  <c r="AK9" i="519"/>
  <c r="AJ9" i="519"/>
  <c r="AI9" i="519"/>
  <c r="AH9" i="519"/>
  <c r="Z9" i="519"/>
  <c r="Y9" i="519"/>
  <c r="AP8" i="519"/>
  <c r="AO8" i="519"/>
  <c r="AN8" i="519"/>
  <c r="AM8" i="519"/>
  <c r="AL8" i="519"/>
  <c r="AK8" i="519"/>
  <c r="AJ8" i="519"/>
  <c r="AI8" i="519"/>
  <c r="AH8" i="519"/>
  <c r="Z8" i="519"/>
  <c r="Y8" i="519"/>
  <c r="AP7" i="519"/>
  <c r="AO7" i="519"/>
  <c r="AN7" i="519"/>
  <c r="AM7" i="519"/>
  <c r="AL7" i="519"/>
  <c r="AK7" i="519"/>
  <c r="AJ7" i="519"/>
  <c r="AI7" i="519"/>
  <c r="AH7" i="519"/>
  <c r="Z7" i="519"/>
  <c r="Y7" i="519"/>
  <c r="AP6" i="519"/>
  <c r="AO6" i="519"/>
  <c r="AN6" i="519"/>
  <c r="AM6" i="519"/>
  <c r="AL6" i="519"/>
  <c r="AK6" i="519"/>
  <c r="AJ6" i="519"/>
  <c r="AI6" i="519"/>
  <c r="AH6" i="519"/>
  <c r="Z6" i="519"/>
  <c r="Y6" i="519"/>
  <c r="Z5" i="519"/>
  <c r="Y5" i="519"/>
  <c r="V1" i="519"/>
  <c r="T1" i="519" s="1"/>
  <c r="E1" i="519"/>
  <c r="B33" i="383"/>
  <c r="V26" i="518"/>
  <c r="U37" i="518"/>
  <c r="R37" i="518"/>
  <c r="O37" i="518"/>
  <c r="L37" i="518"/>
  <c r="I37" i="518"/>
  <c r="F37" i="518"/>
  <c r="C37" i="518"/>
  <c r="V35" i="518" s="1"/>
  <c r="V32" i="518" s="1"/>
  <c r="V20" i="518"/>
  <c r="Z18" i="518"/>
  <c r="Z17" i="518"/>
  <c r="Z16" i="518"/>
  <c r="Z15" i="518"/>
  <c r="Z13" i="518"/>
  <c r="Y13" i="518"/>
  <c r="AP12" i="518"/>
  <c r="AO12" i="518"/>
  <c r="AN12" i="518"/>
  <c r="AM12" i="518"/>
  <c r="AL12" i="518"/>
  <c r="AK12" i="518"/>
  <c r="AJ12" i="518"/>
  <c r="AI12" i="518"/>
  <c r="AH12" i="518"/>
  <c r="Z12" i="518"/>
  <c r="Y12" i="518"/>
  <c r="AP11" i="518"/>
  <c r="AO11" i="518"/>
  <c r="AN11" i="518"/>
  <c r="AM11" i="518"/>
  <c r="AL11" i="518"/>
  <c r="AK11" i="518"/>
  <c r="AJ11" i="518"/>
  <c r="AI11" i="518"/>
  <c r="AH11" i="518"/>
  <c r="Z11" i="518"/>
  <c r="Y11" i="518"/>
  <c r="AP10" i="518"/>
  <c r="AO10" i="518"/>
  <c r="AN10" i="518"/>
  <c r="AM10" i="518"/>
  <c r="AL10" i="518"/>
  <c r="AK10" i="518"/>
  <c r="AJ10" i="518"/>
  <c r="AI10" i="518"/>
  <c r="AH10" i="518"/>
  <c r="Z10" i="518"/>
  <c r="Y10" i="518"/>
  <c r="AP9" i="518"/>
  <c r="AO9" i="518"/>
  <c r="AN9" i="518"/>
  <c r="AM9" i="518"/>
  <c r="AL9" i="518"/>
  <c r="AK9" i="518"/>
  <c r="AJ9" i="518"/>
  <c r="AI9" i="518"/>
  <c r="AH9" i="518"/>
  <c r="Z9" i="518"/>
  <c r="Y9" i="518"/>
  <c r="AP8" i="518"/>
  <c r="AO8" i="518"/>
  <c r="AN8" i="518"/>
  <c r="AM8" i="518"/>
  <c r="AL8" i="518"/>
  <c r="AK8" i="518"/>
  <c r="AJ8" i="518"/>
  <c r="AI8" i="518"/>
  <c r="AH8" i="518"/>
  <c r="Z8" i="518"/>
  <c r="Y8" i="518"/>
  <c r="AP7" i="518"/>
  <c r="AO7" i="518"/>
  <c r="AN7" i="518"/>
  <c r="AM7" i="518"/>
  <c r="AL7" i="518"/>
  <c r="AK7" i="518"/>
  <c r="AJ7" i="518"/>
  <c r="AI7" i="518"/>
  <c r="AH7" i="518"/>
  <c r="Z7" i="518"/>
  <c r="Y7" i="518"/>
  <c r="AP6" i="518"/>
  <c r="AO6" i="518"/>
  <c r="AN6" i="518"/>
  <c r="AM6" i="518"/>
  <c r="AL6" i="518"/>
  <c r="AK6" i="518"/>
  <c r="AJ6" i="518"/>
  <c r="AI6" i="518"/>
  <c r="AH6" i="518"/>
  <c r="Z6" i="518"/>
  <c r="Y6" i="518"/>
  <c r="Z5" i="518"/>
  <c r="Y5" i="518"/>
  <c r="V1" i="518"/>
  <c r="T1" i="518"/>
  <c r="R1" i="518"/>
  <c r="A2" i="518" s="1"/>
  <c r="D2" i="518" s="1"/>
  <c r="G2" i="518" s="1"/>
  <c r="J2" i="518" s="1"/>
  <c r="M2" i="518" s="1"/>
  <c r="P2" i="518" s="1"/>
  <c r="S2" i="518" s="1"/>
  <c r="E1" i="518"/>
  <c r="B32" i="383"/>
  <c r="V26" i="517"/>
  <c r="U37" i="517"/>
  <c r="R37" i="517"/>
  <c r="O37" i="517"/>
  <c r="L37" i="517"/>
  <c r="I37" i="517"/>
  <c r="F37" i="517"/>
  <c r="C37" i="517"/>
  <c r="V35" i="517" s="1"/>
  <c r="V32" i="517" s="1"/>
  <c r="V20" i="517"/>
  <c r="Z18" i="517"/>
  <c r="Z17" i="517"/>
  <c r="Z16" i="517"/>
  <c r="Z15" i="517"/>
  <c r="Z13" i="517"/>
  <c r="Y13" i="517"/>
  <c r="AP12" i="517"/>
  <c r="AO12" i="517"/>
  <c r="AN12" i="517"/>
  <c r="AM12" i="517"/>
  <c r="AL12" i="517"/>
  <c r="AK12" i="517"/>
  <c r="AJ12" i="517"/>
  <c r="AI12" i="517"/>
  <c r="AH12" i="517"/>
  <c r="Z12" i="517"/>
  <c r="Y12" i="517"/>
  <c r="AP11" i="517"/>
  <c r="AO11" i="517"/>
  <c r="AN11" i="517"/>
  <c r="AM11" i="517"/>
  <c r="AL11" i="517"/>
  <c r="AK11" i="517"/>
  <c r="AJ11" i="517"/>
  <c r="AI11" i="517"/>
  <c r="AH11" i="517"/>
  <c r="Z11" i="517"/>
  <c r="Y11" i="517"/>
  <c r="AP10" i="517"/>
  <c r="AO10" i="517"/>
  <c r="AN10" i="517"/>
  <c r="AM10" i="517"/>
  <c r="AL10" i="517"/>
  <c r="AK10" i="517"/>
  <c r="AJ10" i="517"/>
  <c r="AI10" i="517"/>
  <c r="AH10" i="517"/>
  <c r="Z10" i="517"/>
  <c r="Y10" i="517"/>
  <c r="AP9" i="517"/>
  <c r="AO9" i="517"/>
  <c r="AN9" i="517"/>
  <c r="AM9" i="517"/>
  <c r="AL9" i="517"/>
  <c r="AK9" i="517"/>
  <c r="AJ9" i="517"/>
  <c r="AI9" i="517"/>
  <c r="AH9" i="517"/>
  <c r="Z9" i="517"/>
  <c r="Y9" i="517"/>
  <c r="AP8" i="517"/>
  <c r="AO8" i="517"/>
  <c r="AN8" i="517"/>
  <c r="AM8" i="517"/>
  <c r="AL8" i="517"/>
  <c r="AK8" i="517"/>
  <c r="AJ8" i="517"/>
  <c r="AI8" i="517"/>
  <c r="AH8" i="517"/>
  <c r="Z8" i="517"/>
  <c r="Y8" i="517"/>
  <c r="AP7" i="517"/>
  <c r="AO7" i="517"/>
  <c r="AN7" i="517"/>
  <c r="AM7" i="517"/>
  <c r="AL7" i="517"/>
  <c r="AK7" i="517"/>
  <c r="AJ7" i="517"/>
  <c r="AI7" i="517"/>
  <c r="AH7" i="517"/>
  <c r="Z7" i="517"/>
  <c r="Y7" i="517"/>
  <c r="AP6" i="517"/>
  <c r="AO6" i="517"/>
  <c r="AN6" i="517"/>
  <c r="AM6" i="517"/>
  <c r="AL6" i="517"/>
  <c r="AK6" i="517"/>
  <c r="AJ6" i="517"/>
  <c r="AI6" i="517"/>
  <c r="AH6" i="517"/>
  <c r="Z6" i="517"/>
  <c r="Y6" i="517"/>
  <c r="Z5" i="517"/>
  <c r="Y5" i="517"/>
  <c r="V1" i="517"/>
  <c r="T1" i="517" s="1"/>
  <c r="E1" i="517"/>
  <c r="B31" i="383"/>
  <c r="V26" i="516"/>
  <c r="U37" i="516"/>
  <c r="R37" i="516"/>
  <c r="O37" i="516"/>
  <c r="L37" i="516"/>
  <c r="I37" i="516"/>
  <c r="F37" i="516"/>
  <c r="C37" i="516"/>
  <c r="V35" i="516"/>
  <c r="V32" i="516" s="1"/>
  <c r="V20" i="516"/>
  <c r="Z18" i="516"/>
  <c r="Z17" i="516"/>
  <c r="Z16" i="516"/>
  <c r="Z15" i="516"/>
  <c r="Z13" i="516"/>
  <c r="Y13" i="516"/>
  <c r="AP12" i="516"/>
  <c r="AO12" i="516"/>
  <c r="AN12" i="516"/>
  <c r="AM12" i="516"/>
  <c r="AL12" i="516"/>
  <c r="AK12" i="516"/>
  <c r="AJ12" i="516"/>
  <c r="AI12" i="516"/>
  <c r="AH12" i="516"/>
  <c r="Z12" i="516"/>
  <c r="Y12" i="516"/>
  <c r="AP11" i="516"/>
  <c r="AO11" i="516"/>
  <c r="AN11" i="516"/>
  <c r="AM11" i="516"/>
  <c r="AL11" i="516"/>
  <c r="AK11" i="516"/>
  <c r="AJ11" i="516"/>
  <c r="AI11" i="516"/>
  <c r="AH11" i="516"/>
  <c r="Z11" i="516"/>
  <c r="Y11" i="516"/>
  <c r="AP10" i="516"/>
  <c r="AO10" i="516"/>
  <c r="AN10" i="516"/>
  <c r="AM10" i="516"/>
  <c r="AL10" i="516"/>
  <c r="AK10" i="516"/>
  <c r="AJ10" i="516"/>
  <c r="AI10" i="516"/>
  <c r="AH10" i="516"/>
  <c r="Z10" i="516"/>
  <c r="Y10" i="516"/>
  <c r="AP9" i="516"/>
  <c r="AO9" i="516"/>
  <c r="AN9" i="516"/>
  <c r="AM9" i="516"/>
  <c r="AL9" i="516"/>
  <c r="AK9" i="516"/>
  <c r="AJ9" i="516"/>
  <c r="AI9" i="516"/>
  <c r="AH9" i="516"/>
  <c r="Z9" i="516"/>
  <c r="Y9" i="516"/>
  <c r="AP8" i="516"/>
  <c r="AO8" i="516"/>
  <c r="AN8" i="516"/>
  <c r="AM8" i="516"/>
  <c r="AL8" i="516"/>
  <c r="AK8" i="516"/>
  <c r="AJ8" i="516"/>
  <c r="AI8" i="516"/>
  <c r="AH8" i="516"/>
  <c r="Z8" i="516"/>
  <c r="Y8" i="516"/>
  <c r="AP7" i="516"/>
  <c r="AO7" i="516"/>
  <c r="AN7" i="516"/>
  <c r="AM7" i="516"/>
  <c r="AL7" i="516"/>
  <c r="AK7" i="516"/>
  <c r="AJ7" i="516"/>
  <c r="AI7" i="516"/>
  <c r="AH7" i="516"/>
  <c r="Z7" i="516"/>
  <c r="Y7" i="516"/>
  <c r="AP6" i="516"/>
  <c r="AO6" i="516"/>
  <c r="AN6" i="516"/>
  <c r="AM6" i="516"/>
  <c r="AL6" i="516"/>
  <c r="AK6" i="516"/>
  <c r="AJ6" i="516"/>
  <c r="AI6" i="516"/>
  <c r="AH6" i="516"/>
  <c r="Z6" i="516"/>
  <c r="Y6" i="516"/>
  <c r="Z5" i="516"/>
  <c r="Y5" i="516"/>
  <c r="V1" i="516"/>
  <c r="T1" i="516" s="1"/>
  <c r="E1" i="516"/>
  <c r="B30" i="383"/>
  <c r="V26" i="515"/>
  <c r="U37" i="515"/>
  <c r="R37" i="515"/>
  <c r="O37" i="515"/>
  <c r="L37" i="515"/>
  <c r="I37" i="515"/>
  <c r="F37" i="515"/>
  <c r="C37" i="515"/>
  <c r="V35" i="515"/>
  <c r="V32" i="515" s="1"/>
  <c r="V20" i="515"/>
  <c r="Z18" i="515"/>
  <c r="Z17" i="515"/>
  <c r="Z16" i="515"/>
  <c r="Z15" i="515"/>
  <c r="Z13" i="515"/>
  <c r="Y13" i="515"/>
  <c r="AP12" i="515"/>
  <c r="AO12" i="515"/>
  <c r="AN12" i="515"/>
  <c r="AM12" i="515"/>
  <c r="AL12" i="515"/>
  <c r="AK12" i="515"/>
  <c r="AJ12" i="515"/>
  <c r="AI12" i="515"/>
  <c r="AH12" i="515"/>
  <c r="Z12" i="515"/>
  <c r="Y12" i="515"/>
  <c r="AP11" i="515"/>
  <c r="AO11" i="515"/>
  <c r="AN11" i="515"/>
  <c r="AM11" i="515"/>
  <c r="AL11" i="515"/>
  <c r="AK11" i="515"/>
  <c r="AJ11" i="515"/>
  <c r="AI11" i="515"/>
  <c r="AH11" i="515"/>
  <c r="Z11" i="515"/>
  <c r="Y11" i="515"/>
  <c r="AP10" i="515"/>
  <c r="AO10" i="515"/>
  <c r="AN10" i="515"/>
  <c r="AM10" i="515"/>
  <c r="AL10" i="515"/>
  <c r="AK10" i="515"/>
  <c r="AJ10" i="515"/>
  <c r="AI10" i="515"/>
  <c r="AH10" i="515"/>
  <c r="Z10" i="515"/>
  <c r="Y10" i="515"/>
  <c r="AP9" i="515"/>
  <c r="AO9" i="515"/>
  <c r="AN9" i="515"/>
  <c r="AM9" i="515"/>
  <c r="AL9" i="515"/>
  <c r="AK9" i="515"/>
  <c r="AJ9" i="515"/>
  <c r="AI9" i="515"/>
  <c r="AH9" i="515"/>
  <c r="Z9" i="515"/>
  <c r="Y9" i="515"/>
  <c r="AP8" i="515"/>
  <c r="AO8" i="515"/>
  <c r="AN8" i="515"/>
  <c r="AM8" i="515"/>
  <c r="AL8" i="515"/>
  <c r="AK8" i="515"/>
  <c r="AJ8" i="515"/>
  <c r="AI8" i="515"/>
  <c r="AH8" i="515"/>
  <c r="Z8" i="515"/>
  <c r="Y8" i="515"/>
  <c r="AP7" i="515"/>
  <c r="AO7" i="515"/>
  <c r="AN7" i="515"/>
  <c r="AM7" i="515"/>
  <c r="AL7" i="515"/>
  <c r="AK7" i="515"/>
  <c r="AJ7" i="515"/>
  <c r="AI7" i="515"/>
  <c r="AH7" i="515"/>
  <c r="Z7" i="515"/>
  <c r="Y7" i="515"/>
  <c r="AP6" i="515"/>
  <c r="AO6" i="515"/>
  <c r="AN6" i="515"/>
  <c r="AM6" i="515"/>
  <c r="AL6" i="515"/>
  <c r="AK6" i="515"/>
  <c r="AJ6" i="515"/>
  <c r="AI6" i="515"/>
  <c r="AH6" i="515"/>
  <c r="Z6" i="515"/>
  <c r="Y6" i="515"/>
  <c r="Z5" i="515"/>
  <c r="Y5" i="515"/>
  <c r="V1" i="515"/>
  <c r="T1" i="515"/>
  <c r="R1" i="515"/>
  <c r="A2" i="515" s="1"/>
  <c r="D2" i="515" s="1"/>
  <c r="G2" i="515" s="1"/>
  <c r="J2" i="515" s="1"/>
  <c r="M2" i="515" s="1"/>
  <c r="P2" i="515" s="1"/>
  <c r="S2" i="515" s="1"/>
  <c r="E1" i="515"/>
  <c r="B29" i="383"/>
  <c r="V26" i="514"/>
  <c r="U37" i="514"/>
  <c r="R37" i="514"/>
  <c r="O37" i="514"/>
  <c r="L37" i="514"/>
  <c r="I37" i="514"/>
  <c r="F37" i="514"/>
  <c r="C37" i="514"/>
  <c r="V35" i="514" s="1"/>
  <c r="V32" i="514" s="1"/>
  <c r="V20" i="514"/>
  <c r="Z18" i="514"/>
  <c r="Z17" i="514"/>
  <c r="Z16" i="514"/>
  <c r="Z15" i="514"/>
  <c r="Z13" i="514"/>
  <c r="Y13" i="514"/>
  <c r="AP12" i="514"/>
  <c r="AO12" i="514"/>
  <c r="AN12" i="514"/>
  <c r="AM12" i="514"/>
  <c r="AL12" i="514"/>
  <c r="AK12" i="514"/>
  <c r="AJ12" i="514"/>
  <c r="AI12" i="514"/>
  <c r="AH12" i="514"/>
  <c r="Z12" i="514"/>
  <c r="Y12" i="514"/>
  <c r="AP11" i="514"/>
  <c r="AO11" i="514"/>
  <c r="AN11" i="514"/>
  <c r="AM11" i="514"/>
  <c r="AL11" i="514"/>
  <c r="AK11" i="514"/>
  <c r="AJ11" i="514"/>
  <c r="AI11" i="514"/>
  <c r="AH11" i="514"/>
  <c r="Z11" i="514"/>
  <c r="Y11" i="514"/>
  <c r="AP10" i="514"/>
  <c r="AO10" i="514"/>
  <c r="AN10" i="514"/>
  <c r="AM10" i="514"/>
  <c r="AL10" i="514"/>
  <c r="AK10" i="514"/>
  <c r="AJ10" i="514"/>
  <c r="AI10" i="514"/>
  <c r="AH10" i="514"/>
  <c r="Z10" i="514"/>
  <c r="Y10" i="514"/>
  <c r="AP9" i="514"/>
  <c r="AO9" i="514"/>
  <c r="AN9" i="514"/>
  <c r="AM9" i="514"/>
  <c r="AL9" i="514"/>
  <c r="AK9" i="514"/>
  <c r="AJ9" i="514"/>
  <c r="AI9" i="514"/>
  <c r="AH9" i="514"/>
  <c r="Z9" i="514"/>
  <c r="Y9" i="514"/>
  <c r="AP8" i="514"/>
  <c r="AO8" i="514"/>
  <c r="AN8" i="514"/>
  <c r="AM8" i="514"/>
  <c r="AL8" i="514"/>
  <c r="AK8" i="514"/>
  <c r="AJ8" i="514"/>
  <c r="AI8" i="514"/>
  <c r="AH8" i="514"/>
  <c r="Z8" i="514"/>
  <c r="Y8" i="514"/>
  <c r="AP7" i="514"/>
  <c r="AO7" i="514"/>
  <c r="AN7" i="514"/>
  <c r="AM7" i="514"/>
  <c r="AL7" i="514"/>
  <c r="AK7" i="514"/>
  <c r="AJ7" i="514"/>
  <c r="AI7" i="514"/>
  <c r="AH7" i="514"/>
  <c r="Z7" i="514"/>
  <c r="Y7" i="514"/>
  <c r="AP6" i="514"/>
  <c r="AO6" i="514"/>
  <c r="AN6" i="514"/>
  <c r="AM6" i="514"/>
  <c r="AL6" i="514"/>
  <c r="AK6" i="514"/>
  <c r="AJ6" i="514"/>
  <c r="AI6" i="514"/>
  <c r="AH6" i="514"/>
  <c r="Z6" i="514"/>
  <c r="Y6" i="514"/>
  <c r="Z5" i="514"/>
  <c r="Y5" i="514"/>
  <c r="V1" i="514"/>
  <c r="T1" i="514" s="1"/>
  <c r="E1" i="514"/>
  <c r="B28" i="383"/>
  <c r="V26" i="513"/>
  <c r="U37" i="513"/>
  <c r="R37" i="513"/>
  <c r="O37" i="513"/>
  <c r="L37" i="513"/>
  <c r="I37" i="513"/>
  <c r="F37" i="513"/>
  <c r="C37" i="513"/>
  <c r="V35" i="513"/>
  <c r="V32" i="513" s="1"/>
  <c r="V20" i="513"/>
  <c r="Z18" i="513"/>
  <c r="Z17" i="513"/>
  <c r="Z16" i="513"/>
  <c r="Z15" i="513"/>
  <c r="Z13" i="513"/>
  <c r="Y13" i="513"/>
  <c r="AP12" i="513"/>
  <c r="AO12" i="513"/>
  <c r="AN12" i="513"/>
  <c r="AM12" i="513"/>
  <c r="AL12" i="513"/>
  <c r="AK12" i="513"/>
  <c r="AJ12" i="513"/>
  <c r="AI12" i="513"/>
  <c r="AH12" i="513"/>
  <c r="Z12" i="513"/>
  <c r="Y12" i="513"/>
  <c r="AP11" i="513"/>
  <c r="AO11" i="513"/>
  <c r="AN11" i="513"/>
  <c r="AM11" i="513"/>
  <c r="AL11" i="513"/>
  <c r="AK11" i="513"/>
  <c r="AJ11" i="513"/>
  <c r="AI11" i="513"/>
  <c r="AH11" i="513"/>
  <c r="Z11" i="513"/>
  <c r="Y11" i="513"/>
  <c r="AP10" i="513"/>
  <c r="AO10" i="513"/>
  <c r="AN10" i="513"/>
  <c r="AM10" i="513"/>
  <c r="AL10" i="513"/>
  <c r="AK10" i="513"/>
  <c r="AJ10" i="513"/>
  <c r="AI10" i="513"/>
  <c r="AH10" i="513"/>
  <c r="Z10" i="513"/>
  <c r="Y10" i="513"/>
  <c r="AP9" i="513"/>
  <c r="AO9" i="513"/>
  <c r="AN9" i="513"/>
  <c r="AM9" i="513"/>
  <c r="AL9" i="513"/>
  <c r="AK9" i="513"/>
  <c r="AJ9" i="513"/>
  <c r="AI9" i="513"/>
  <c r="AH9" i="513"/>
  <c r="Z9" i="513"/>
  <c r="Y9" i="513"/>
  <c r="AP8" i="513"/>
  <c r="AO8" i="513"/>
  <c r="AN8" i="513"/>
  <c r="AM8" i="513"/>
  <c r="AL8" i="513"/>
  <c r="AK8" i="513"/>
  <c r="AJ8" i="513"/>
  <c r="AI8" i="513"/>
  <c r="AH8" i="513"/>
  <c r="Z8" i="513"/>
  <c r="Y8" i="513"/>
  <c r="AP7" i="513"/>
  <c r="AO7" i="513"/>
  <c r="AN7" i="513"/>
  <c r="AM7" i="513"/>
  <c r="AL7" i="513"/>
  <c r="AK7" i="513"/>
  <c r="AJ7" i="513"/>
  <c r="AI7" i="513"/>
  <c r="AH7" i="513"/>
  <c r="Z7" i="513"/>
  <c r="Y7" i="513"/>
  <c r="AP6" i="513"/>
  <c r="AO6" i="513"/>
  <c r="AN6" i="513"/>
  <c r="AM6" i="513"/>
  <c r="AL6" i="513"/>
  <c r="AK6" i="513"/>
  <c r="AJ6" i="513"/>
  <c r="AI6" i="513"/>
  <c r="AH6" i="513"/>
  <c r="Z6" i="513"/>
  <c r="Y6" i="513"/>
  <c r="Z5" i="513"/>
  <c r="Y5" i="513"/>
  <c r="V1" i="513"/>
  <c r="T1" i="513"/>
  <c r="R1" i="513"/>
  <c r="A2" i="513" s="1"/>
  <c r="D2" i="513" s="1"/>
  <c r="G2" i="513" s="1"/>
  <c r="J2" i="513" s="1"/>
  <c r="M2" i="513" s="1"/>
  <c r="P2" i="513" s="1"/>
  <c r="S2" i="513" s="1"/>
  <c r="E1" i="513"/>
  <c r="B27" i="383"/>
  <c r="V26" i="512"/>
  <c r="U37" i="512"/>
  <c r="R37" i="512"/>
  <c r="O37" i="512"/>
  <c r="L37" i="512"/>
  <c r="I37" i="512"/>
  <c r="F37" i="512"/>
  <c r="C37" i="512"/>
  <c r="V35" i="512" s="1"/>
  <c r="V32" i="512" s="1"/>
  <c r="V20" i="512"/>
  <c r="Z18" i="512"/>
  <c r="Z17" i="512"/>
  <c r="Z16" i="512"/>
  <c r="Z15" i="512"/>
  <c r="Z13" i="512"/>
  <c r="Y13" i="512"/>
  <c r="AP12" i="512"/>
  <c r="AO12" i="512"/>
  <c r="AN12" i="512"/>
  <c r="AM12" i="512"/>
  <c r="AL12" i="512"/>
  <c r="AK12" i="512"/>
  <c r="AJ12" i="512"/>
  <c r="AI12" i="512"/>
  <c r="AH12" i="512"/>
  <c r="Z12" i="512"/>
  <c r="Y12" i="512"/>
  <c r="AP11" i="512"/>
  <c r="AO11" i="512"/>
  <c r="AN11" i="512"/>
  <c r="AM11" i="512"/>
  <c r="AL11" i="512"/>
  <c r="AK11" i="512"/>
  <c r="AJ11" i="512"/>
  <c r="AI11" i="512"/>
  <c r="AH11" i="512"/>
  <c r="Z11" i="512"/>
  <c r="Y11" i="512"/>
  <c r="AP10" i="512"/>
  <c r="AO10" i="512"/>
  <c r="AN10" i="512"/>
  <c r="AM10" i="512"/>
  <c r="AL10" i="512"/>
  <c r="AK10" i="512"/>
  <c r="AJ10" i="512"/>
  <c r="AI10" i="512"/>
  <c r="AH10" i="512"/>
  <c r="Z10" i="512"/>
  <c r="Y10" i="512"/>
  <c r="AP9" i="512"/>
  <c r="AO9" i="512"/>
  <c r="AN9" i="512"/>
  <c r="AM9" i="512"/>
  <c r="AL9" i="512"/>
  <c r="AK9" i="512"/>
  <c r="AJ9" i="512"/>
  <c r="AI9" i="512"/>
  <c r="AH9" i="512"/>
  <c r="Z9" i="512"/>
  <c r="Y9" i="512"/>
  <c r="AP8" i="512"/>
  <c r="AO8" i="512"/>
  <c r="AN8" i="512"/>
  <c r="AM8" i="512"/>
  <c r="AL8" i="512"/>
  <c r="AK8" i="512"/>
  <c r="AJ8" i="512"/>
  <c r="AI8" i="512"/>
  <c r="AH8" i="512"/>
  <c r="Z8" i="512"/>
  <c r="Y8" i="512"/>
  <c r="AP7" i="512"/>
  <c r="AO7" i="512"/>
  <c r="AN7" i="512"/>
  <c r="AM7" i="512"/>
  <c r="AL7" i="512"/>
  <c r="AK7" i="512"/>
  <c r="AJ7" i="512"/>
  <c r="AI7" i="512"/>
  <c r="AH7" i="512"/>
  <c r="Z7" i="512"/>
  <c r="Y7" i="512"/>
  <c r="AP6" i="512"/>
  <c r="AO6" i="512"/>
  <c r="AN6" i="512"/>
  <c r="AM6" i="512"/>
  <c r="AL6" i="512"/>
  <c r="AK6" i="512"/>
  <c r="AJ6" i="512"/>
  <c r="AI6" i="512"/>
  <c r="AH6" i="512"/>
  <c r="Z6" i="512"/>
  <c r="Y6" i="512"/>
  <c r="Z5" i="512"/>
  <c r="Y5" i="512"/>
  <c r="V1" i="512"/>
  <c r="T1" i="512" s="1"/>
  <c r="E1" i="512"/>
  <c r="B26" i="383"/>
  <c r="V26" i="511"/>
  <c r="U37" i="511"/>
  <c r="R37" i="511"/>
  <c r="O37" i="511"/>
  <c r="L37" i="511"/>
  <c r="I37" i="511"/>
  <c r="F37" i="511"/>
  <c r="C37" i="511"/>
  <c r="V35" i="511" s="1"/>
  <c r="V32" i="511" s="1"/>
  <c r="V20" i="511"/>
  <c r="Z18" i="511"/>
  <c r="Z17" i="511"/>
  <c r="Z16" i="511"/>
  <c r="Z15" i="511"/>
  <c r="Z13" i="511"/>
  <c r="Y13" i="511"/>
  <c r="AP12" i="511"/>
  <c r="AO12" i="511"/>
  <c r="AN12" i="511"/>
  <c r="AM12" i="511"/>
  <c r="AL12" i="511"/>
  <c r="AK12" i="511"/>
  <c r="AJ12" i="511"/>
  <c r="AI12" i="511"/>
  <c r="AH12" i="511"/>
  <c r="Z12" i="511"/>
  <c r="Y12" i="511"/>
  <c r="AP11" i="511"/>
  <c r="AO11" i="511"/>
  <c r="AN11" i="511"/>
  <c r="AM11" i="511"/>
  <c r="AL11" i="511"/>
  <c r="AK11" i="511"/>
  <c r="AJ11" i="511"/>
  <c r="AI11" i="511"/>
  <c r="AH11" i="511"/>
  <c r="Z11" i="511"/>
  <c r="Y11" i="511"/>
  <c r="AP10" i="511"/>
  <c r="AO10" i="511"/>
  <c r="AN10" i="511"/>
  <c r="AM10" i="511"/>
  <c r="AL10" i="511"/>
  <c r="AK10" i="511"/>
  <c r="AJ10" i="511"/>
  <c r="AI10" i="511"/>
  <c r="AH10" i="511"/>
  <c r="Z10" i="511"/>
  <c r="Y10" i="511"/>
  <c r="AP9" i="511"/>
  <c r="AO9" i="511"/>
  <c r="AN9" i="511"/>
  <c r="AM9" i="511"/>
  <c r="AL9" i="511"/>
  <c r="AK9" i="511"/>
  <c r="AJ9" i="511"/>
  <c r="AI9" i="511"/>
  <c r="AH9" i="511"/>
  <c r="Z9" i="511"/>
  <c r="Y9" i="511"/>
  <c r="AP8" i="511"/>
  <c r="AO8" i="511"/>
  <c r="AN8" i="511"/>
  <c r="AM8" i="511"/>
  <c r="AL8" i="511"/>
  <c r="AK8" i="511"/>
  <c r="AJ8" i="511"/>
  <c r="AI8" i="511"/>
  <c r="AH8" i="511"/>
  <c r="Z8" i="511"/>
  <c r="Y8" i="511"/>
  <c r="AP7" i="511"/>
  <c r="AO7" i="511"/>
  <c r="AN7" i="511"/>
  <c r="AM7" i="511"/>
  <c r="AL7" i="511"/>
  <c r="AK7" i="511"/>
  <c r="AJ7" i="511"/>
  <c r="AI7" i="511"/>
  <c r="AH7" i="511"/>
  <c r="Z7" i="511"/>
  <c r="Y7" i="511"/>
  <c r="AP6" i="511"/>
  <c r="AO6" i="511"/>
  <c r="AN6" i="511"/>
  <c r="AM6" i="511"/>
  <c r="AL6" i="511"/>
  <c r="AK6" i="511"/>
  <c r="AJ6" i="511"/>
  <c r="AI6" i="511"/>
  <c r="AH6" i="511"/>
  <c r="Z6" i="511"/>
  <c r="Y6" i="511"/>
  <c r="Z5" i="511"/>
  <c r="Y5" i="511"/>
  <c r="V1" i="511"/>
  <c r="T1" i="511" s="1"/>
  <c r="E1" i="511"/>
  <c r="B25" i="383"/>
  <c r="V26" i="510"/>
  <c r="U37" i="510"/>
  <c r="R37" i="510"/>
  <c r="O37" i="510"/>
  <c r="L37" i="510"/>
  <c r="I37" i="510"/>
  <c r="F37" i="510"/>
  <c r="C37" i="510"/>
  <c r="V35" i="510" s="1"/>
  <c r="V32" i="510" s="1"/>
  <c r="V20" i="510"/>
  <c r="Z18" i="510"/>
  <c r="Z17" i="510"/>
  <c r="Z16" i="510"/>
  <c r="Z15" i="510"/>
  <c r="Z13" i="510"/>
  <c r="Y13" i="510"/>
  <c r="AP12" i="510"/>
  <c r="AO12" i="510"/>
  <c r="AN12" i="510"/>
  <c r="AM12" i="510"/>
  <c r="AL12" i="510"/>
  <c r="AK12" i="510"/>
  <c r="AJ12" i="510"/>
  <c r="AI12" i="510"/>
  <c r="AH12" i="510"/>
  <c r="Z12" i="510"/>
  <c r="Y12" i="510"/>
  <c r="AP11" i="510"/>
  <c r="AO11" i="510"/>
  <c r="AN11" i="510"/>
  <c r="AM11" i="510"/>
  <c r="AL11" i="510"/>
  <c r="AK11" i="510"/>
  <c r="AJ11" i="510"/>
  <c r="AI11" i="510"/>
  <c r="AH11" i="510"/>
  <c r="Z11" i="510"/>
  <c r="Y11" i="510"/>
  <c r="AP10" i="510"/>
  <c r="AO10" i="510"/>
  <c r="AN10" i="510"/>
  <c r="AM10" i="510"/>
  <c r="AL10" i="510"/>
  <c r="AK10" i="510"/>
  <c r="AJ10" i="510"/>
  <c r="AI10" i="510"/>
  <c r="AH10" i="510"/>
  <c r="Z10" i="510"/>
  <c r="Y10" i="510"/>
  <c r="AP9" i="510"/>
  <c r="AO9" i="510"/>
  <c r="AN9" i="510"/>
  <c r="AM9" i="510"/>
  <c r="AL9" i="510"/>
  <c r="AK9" i="510"/>
  <c r="AJ9" i="510"/>
  <c r="AI9" i="510"/>
  <c r="AH9" i="510"/>
  <c r="Z9" i="510"/>
  <c r="Y9" i="510"/>
  <c r="AP8" i="510"/>
  <c r="AO8" i="510"/>
  <c r="AN8" i="510"/>
  <c r="AM8" i="510"/>
  <c r="AL8" i="510"/>
  <c r="AK8" i="510"/>
  <c r="AJ8" i="510"/>
  <c r="AI8" i="510"/>
  <c r="AH8" i="510"/>
  <c r="Z8" i="510"/>
  <c r="Y8" i="510"/>
  <c r="AP7" i="510"/>
  <c r="AO7" i="510"/>
  <c r="AN7" i="510"/>
  <c r="AM7" i="510"/>
  <c r="AL7" i="510"/>
  <c r="AK7" i="510"/>
  <c r="AJ7" i="510"/>
  <c r="AI7" i="510"/>
  <c r="AH7" i="510"/>
  <c r="Z7" i="510"/>
  <c r="Y7" i="510"/>
  <c r="AP6" i="510"/>
  <c r="AO6" i="510"/>
  <c r="AN6" i="510"/>
  <c r="AM6" i="510"/>
  <c r="AL6" i="510"/>
  <c r="AK6" i="510"/>
  <c r="AJ6" i="510"/>
  <c r="AI6" i="510"/>
  <c r="AH6" i="510"/>
  <c r="Z6" i="510"/>
  <c r="Y6" i="510"/>
  <c r="Z5" i="510"/>
  <c r="Y5" i="510"/>
  <c r="A2" i="510"/>
  <c r="D2" i="510" s="1"/>
  <c r="G2" i="510" s="1"/>
  <c r="J2" i="510" s="1"/>
  <c r="M2" i="510" s="1"/>
  <c r="P2" i="510" s="1"/>
  <c r="S2" i="510" s="1"/>
  <c r="V1" i="510"/>
  <c r="T1" i="510"/>
  <c r="R1" i="510"/>
  <c r="A3" i="510" s="1"/>
  <c r="E1" i="510"/>
  <c r="B24" i="383"/>
  <c r="V26" i="509"/>
  <c r="U37" i="509"/>
  <c r="R37" i="509"/>
  <c r="O37" i="509"/>
  <c r="L37" i="509"/>
  <c r="I37" i="509"/>
  <c r="F37" i="509"/>
  <c r="C37" i="509"/>
  <c r="V35" i="509"/>
  <c r="V32" i="509" s="1"/>
  <c r="V20" i="509"/>
  <c r="Z18" i="509"/>
  <c r="Z17" i="509"/>
  <c r="Z16" i="509"/>
  <c r="Z15" i="509"/>
  <c r="Z13" i="509"/>
  <c r="Y13" i="509"/>
  <c r="AP12" i="509"/>
  <c r="AO12" i="509"/>
  <c r="AN12" i="509"/>
  <c r="AM12" i="509"/>
  <c r="AL12" i="509"/>
  <c r="AK12" i="509"/>
  <c r="AJ12" i="509"/>
  <c r="AI12" i="509"/>
  <c r="AH12" i="509"/>
  <c r="Z12" i="509"/>
  <c r="Y12" i="509"/>
  <c r="AP11" i="509"/>
  <c r="AO11" i="509"/>
  <c r="AN11" i="509"/>
  <c r="AM11" i="509"/>
  <c r="AL11" i="509"/>
  <c r="AK11" i="509"/>
  <c r="AJ11" i="509"/>
  <c r="AI11" i="509"/>
  <c r="AH11" i="509"/>
  <c r="Z11" i="509"/>
  <c r="Y11" i="509"/>
  <c r="AP10" i="509"/>
  <c r="AO10" i="509"/>
  <c r="AN10" i="509"/>
  <c r="AM10" i="509"/>
  <c r="AL10" i="509"/>
  <c r="AK10" i="509"/>
  <c r="AJ10" i="509"/>
  <c r="AI10" i="509"/>
  <c r="AH10" i="509"/>
  <c r="Z10" i="509"/>
  <c r="Y10" i="509"/>
  <c r="AP9" i="509"/>
  <c r="AO9" i="509"/>
  <c r="AN9" i="509"/>
  <c r="AM9" i="509"/>
  <c r="AL9" i="509"/>
  <c r="AK9" i="509"/>
  <c r="AJ9" i="509"/>
  <c r="AI9" i="509"/>
  <c r="AH9" i="509"/>
  <c r="Z9" i="509"/>
  <c r="Y9" i="509"/>
  <c r="AP8" i="509"/>
  <c r="AO8" i="509"/>
  <c r="AN8" i="509"/>
  <c r="AM8" i="509"/>
  <c r="AL8" i="509"/>
  <c r="AK8" i="509"/>
  <c r="AJ8" i="509"/>
  <c r="AI8" i="509"/>
  <c r="AH8" i="509"/>
  <c r="Z8" i="509"/>
  <c r="Y8" i="509"/>
  <c r="AP7" i="509"/>
  <c r="AO7" i="509"/>
  <c r="AN7" i="509"/>
  <c r="AM7" i="509"/>
  <c r="AL7" i="509"/>
  <c r="AK7" i="509"/>
  <c r="AJ7" i="509"/>
  <c r="AI7" i="509"/>
  <c r="AH7" i="509"/>
  <c r="Z7" i="509"/>
  <c r="Y7" i="509"/>
  <c r="AP6" i="509"/>
  <c r="AO6" i="509"/>
  <c r="AN6" i="509"/>
  <c r="AM6" i="509"/>
  <c r="AL6" i="509"/>
  <c r="AK6" i="509"/>
  <c r="AJ6" i="509"/>
  <c r="AI6" i="509"/>
  <c r="AH6" i="509"/>
  <c r="Z6" i="509"/>
  <c r="Y6" i="509"/>
  <c r="Z5" i="509"/>
  <c r="Y5" i="509"/>
  <c r="V1" i="509"/>
  <c r="T1" i="509"/>
  <c r="R1" i="509"/>
  <c r="A2" i="509" s="1"/>
  <c r="D2" i="509" s="1"/>
  <c r="G2" i="509" s="1"/>
  <c r="J2" i="509" s="1"/>
  <c r="M2" i="509" s="1"/>
  <c r="P2" i="509" s="1"/>
  <c r="S2" i="509" s="1"/>
  <c r="E1" i="509"/>
  <c r="B23" i="383"/>
  <c r="V26" i="508"/>
  <c r="U37" i="508"/>
  <c r="R37" i="508"/>
  <c r="O37" i="508"/>
  <c r="L37" i="508"/>
  <c r="I37" i="508"/>
  <c r="F37" i="508"/>
  <c r="C37" i="508"/>
  <c r="V35" i="508"/>
  <c r="V32" i="508" s="1"/>
  <c r="V20" i="508"/>
  <c r="Z18" i="508"/>
  <c r="Z17" i="508"/>
  <c r="Z16" i="508"/>
  <c r="Z15" i="508"/>
  <c r="Z13" i="508"/>
  <c r="Y13" i="508"/>
  <c r="AP12" i="508"/>
  <c r="AO12" i="508"/>
  <c r="AN12" i="508"/>
  <c r="AM12" i="508"/>
  <c r="AL12" i="508"/>
  <c r="AK12" i="508"/>
  <c r="AJ12" i="508"/>
  <c r="AI12" i="508"/>
  <c r="AH12" i="508"/>
  <c r="Z12" i="508"/>
  <c r="Y12" i="508"/>
  <c r="AP11" i="508"/>
  <c r="AO11" i="508"/>
  <c r="AN11" i="508"/>
  <c r="AM11" i="508"/>
  <c r="AL11" i="508"/>
  <c r="AK11" i="508"/>
  <c r="AJ11" i="508"/>
  <c r="AI11" i="508"/>
  <c r="AH11" i="508"/>
  <c r="Z11" i="508"/>
  <c r="Y11" i="508"/>
  <c r="AP10" i="508"/>
  <c r="AO10" i="508"/>
  <c r="AN10" i="508"/>
  <c r="AM10" i="508"/>
  <c r="AL10" i="508"/>
  <c r="AK10" i="508"/>
  <c r="AJ10" i="508"/>
  <c r="AI10" i="508"/>
  <c r="AH10" i="508"/>
  <c r="Z10" i="508"/>
  <c r="Y10" i="508"/>
  <c r="AP9" i="508"/>
  <c r="AO9" i="508"/>
  <c r="AN9" i="508"/>
  <c r="AM9" i="508"/>
  <c r="AL9" i="508"/>
  <c r="AK9" i="508"/>
  <c r="AJ9" i="508"/>
  <c r="AI9" i="508"/>
  <c r="AH9" i="508"/>
  <c r="Z9" i="508"/>
  <c r="Y9" i="508"/>
  <c r="AP8" i="508"/>
  <c r="AO8" i="508"/>
  <c r="AN8" i="508"/>
  <c r="AM8" i="508"/>
  <c r="AL8" i="508"/>
  <c r="AK8" i="508"/>
  <c r="AJ8" i="508"/>
  <c r="AI8" i="508"/>
  <c r="AH8" i="508"/>
  <c r="Z8" i="508"/>
  <c r="Y8" i="508"/>
  <c r="AP7" i="508"/>
  <c r="AO7" i="508"/>
  <c r="AN7" i="508"/>
  <c r="AM7" i="508"/>
  <c r="AL7" i="508"/>
  <c r="AK7" i="508"/>
  <c r="AJ7" i="508"/>
  <c r="AI7" i="508"/>
  <c r="AH7" i="508"/>
  <c r="Z7" i="508"/>
  <c r="Y7" i="508"/>
  <c r="AP6" i="508"/>
  <c r="AO6" i="508"/>
  <c r="AN6" i="508"/>
  <c r="AM6" i="508"/>
  <c r="AL6" i="508"/>
  <c r="AK6" i="508"/>
  <c r="AJ6" i="508"/>
  <c r="AI6" i="508"/>
  <c r="AH6" i="508"/>
  <c r="Z6" i="508"/>
  <c r="Y6" i="508"/>
  <c r="Z5" i="508"/>
  <c r="Y5" i="508"/>
  <c r="V1" i="508"/>
  <c r="T1" i="508"/>
  <c r="R1" i="508"/>
  <c r="A3" i="508" s="1"/>
  <c r="E1" i="508"/>
  <c r="B22" i="383"/>
  <c r="V26" i="507"/>
  <c r="U37" i="507"/>
  <c r="R37" i="507"/>
  <c r="O37" i="507"/>
  <c r="L37" i="507"/>
  <c r="I37" i="507"/>
  <c r="F37" i="507"/>
  <c r="C37" i="507"/>
  <c r="V35" i="507" s="1"/>
  <c r="V32" i="507" s="1"/>
  <c r="V20" i="507"/>
  <c r="Z18" i="507"/>
  <c r="Z17" i="507"/>
  <c r="Z16" i="507"/>
  <c r="Z15" i="507"/>
  <c r="Z13" i="507"/>
  <c r="Y13" i="507"/>
  <c r="AP12" i="507"/>
  <c r="AO12" i="507"/>
  <c r="AN12" i="507"/>
  <c r="AM12" i="507"/>
  <c r="AL12" i="507"/>
  <c r="AK12" i="507"/>
  <c r="AJ12" i="507"/>
  <c r="AI12" i="507"/>
  <c r="AH12" i="507"/>
  <c r="Z12" i="507"/>
  <c r="Y12" i="507"/>
  <c r="AP11" i="507"/>
  <c r="AO11" i="507"/>
  <c r="AN11" i="507"/>
  <c r="AM11" i="507"/>
  <c r="AL11" i="507"/>
  <c r="AK11" i="507"/>
  <c r="AJ11" i="507"/>
  <c r="AI11" i="507"/>
  <c r="AH11" i="507"/>
  <c r="Z11" i="507"/>
  <c r="Y11" i="507"/>
  <c r="AP10" i="507"/>
  <c r="AO10" i="507"/>
  <c r="AN10" i="507"/>
  <c r="AM10" i="507"/>
  <c r="AL10" i="507"/>
  <c r="AK10" i="507"/>
  <c r="AJ10" i="507"/>
  <c r="AI10" i="507"/>
  <c r="AH10" i="507"/>
  <c r="Z10" i="507"/>
  <c r="Y10" i="507"/>
  <c r="AP9" i="507"/>
  <c r="AO9" i="507"/>
  <c r="AN9" i="507"/>
  <c r="AM9" i="507"/>
  <c r="AL9" i="507"/>
  <c r="AK9" i="507"/>
  <c r="AJ9" i="507"/>
  <c r="AI9" i="507"/>
  <c r="AH9" i="507"/>
  <c r="Z9" i="507"/>
  <c r="Y9" i="507"/>
  <c r="AP8" i="507"/>
  <c r="AO8" i="507"/>
  <c r="AN8" i="507"/>
  <c r="AM8" i="507"/>
  <c r="AL8" i="507"/>
  <c r="AK8" i="507"/>
  <c r="AJ8" i="507"/>
  <c r="AI8" i="507"/>
  <c r="AH8" i="507"/>
  <c r="Z8" i="507"/>
  <c r="Y8" i="507"/>
  <c r="AP7" i="507"/>
  <c r="AO7" i="507"/>
  <c r="AN7" i="507"/>
  <c r="AM7" i="507"/>
  <c r="AL7" i="507"/>
  <c r="AK7" i="507"/>
  <c r="AJ7" i="507"/>
  <c r="AI7" i="507"/>
  <c r="AH7" i="507"/>
  <c r="Z7" i="507"/>
  <c r="Y7" i="507"/>
  <c r="AP6" i="507"/>
  <c r="AO6" i="507"/>
  <c r="AN6" i="507"/>
  <c r="AM6" i="507"/>
  <c r="AL6" i="507"/>
  <c r="AK6" i="507"/>
  <c r="AJ6" i="507"/>
  <c r="AI6" i="507"/>
  <c r="AH6" i="507"/>
  <c r="Z6" i="507"/>
  <c r="Y6" i="507"/>
  <c r="Z5" i="507"/>
  <c r="Y5" i="507"/>
  <c r="V1" i="507"/>
  <c r="T1" i="507" s="1"/>
  <c r="E1" i="507"/>
  <c r="B21" i="383"/>
  <c r="V26" i="506"/>
  <c r="U37" i="506"/>
  <c r="R37" i="506"/>
  <c r="O37" i="506"/>
  <c r="L37" i="506"/>
  <c r="I37" i="506"/>
  <c r="F37" i="506"/>
  <c r="C37" i="506"/>
  <c r="V35" i="506" s="1"/>
  <c r="V32" i="506" s="1"/>
  <c r="V20" i="506"/>
  <c r="Z18" i="506"/>
  <c r="Z17" i="506"/>
  <c r="Z16" i="506"/>
  <c r="Z15" i="506"/>
  <c r="Z13" i="506"/>
  <c r="Y13" i="506"/>
  <c r="AP12" i="506"/>
  <c r="AO12" i="506"/>
  <c r="AN12" i="506"/>
  <c r="AM12" i="506"/>
  <c r="AL12" i="506"/>
  <c r="AK12" i="506"/>
  <c r="AJ12" i="506"/>
  <c r="AI12" i="506"/>
  <c r="AH12" i="506"/>
  <c r="Z12" i="506"/>
  <c r="Y12" i="506"/>
  <c r="AP11" i="506"/>
  <c r="AO11" i="506"/>
  <c r="AN11" i="506"/>
  <c r="AM11" i="506"/>
  <c r="AL11" i="506"/>
  <c r="AK11" i="506"/>
  <c r="AJ11" i="506"/>
  <c r="AI11" i="506"/>
  <c r="AH11" i="506"/>
  <c r="Z11" i="506"/>
  <c r="Y11" i="506"/>
  <c r="AP10" i="506"/>
  <c r="AO10" i="506"/>
  <c r="AN10" i="506"/>
  <c r="AM10" i="506"/>
  <c r="AL10" i="506"/>
  <c r="AK10" i="506"/>
  <c r="AJ10" i="506"/>
  <c r="AI10" i="506"/>
  <c r="AH10" i="506"/>
  <c r="Z10" i="506"/>
  <c r="Y10" i="506"/>
  <c r="AP9" i="506"/>
  <c r="AO9" i="506"/>
  <c r="AN9" i="506"/>
  <c r="AM9" i="506"/>
  <c r="AL9" i="506"/>
  <c r="AK9" i="506"/>
  <c r="AJ9" i="506"/>
  <c r="AI9" i="506"/>
  <c r="AH9" i="506"/>
  <c r="Z9" i="506"/>
  <c r="Y9" i="506"/>
  <c r="AP8" i="506"/>
  <c r="AO8" i="506"/>
  <c r="AN8" i="506"/>
  <c r="AM8" i="506"/>
  <c r="AL8" i="506"/>
  <c r="AK8" i="506"/>
  <c r="AJ8" i="506"/>
  <c r="AI8" i="506"/>
  <c r="AH8" i="506"/>
  <c r="Z8" i="506"/>
  <c r="Y8" i="506"/>
  <c r="AP7" i="506"/>
  <c r="AO7" i="506"/>
  <c r="AN7" i="506"/>
  <c r="AM7" i="506"/>
  <c r="AL7" i="506"/>
  <c r="AK7" i="506"/>
  <c r="AJ7" i="506"/>
  <c r="AI7" i="506"/>
  <c r="AH7" i="506"/>
  <c r="Z7" i="506"/>
  <c r="Y7" i="506"/>
  <c r="AP6" i="506"/>
  <c r="AO6" i="506"/>
  <c r="AN6" i="506"/>
  <c r="AM6" i="506"/>
  <c r="AL6" i="506"/>
  <c r="AK6" i="506"/>
  <c r="AJ6" i="506"/>
  <c r="AI6" i="506"/>
  <c r="AH6" i="506"/>
  <c r="Z6" i="506"/>
  <c r="Y6" i="506"/>
  <c r="Z5" i="506"/>
  <c r="Y5" i="506"/>
  <c r="V1" i="506"/>
  <c r="T1" i="506" s="1"/>
  <c r="E1" i="506"/>
  <c r="B20" i="383"/>
  <c r="V26" i="505"/>
  <c r="U37" i="505"/>
  <c r="R37" i="505"/>
  <c r="O37" i="505"/>
  <c r="L37" i="505"/>
  <c r="I37" i="505"/>
  <c r="F37" i="505"/>
  <c r="C37" i="505"/>
  <c r="V35" i="505" s="1"/>
  <c r="V32" i="505" s="1"/>
  <c r="V20" i="505"/>
  <c r="Z18" i="505"/>
  <c r="Z17" i="505"/>
  <c r="Z16" i="505"/>
  <c r="Z15" i="505"/>
  <c r="Z13" i="505"/>
  <c r="Y13" i="505"/>
  <c r="AP12" i="505"/>
  <c r="AO12" i="505"/>
  <c r="AN12" i="505"/>
  <c r="AM12" i="505"/>
  <c r="AL12" i="505"/>
  <c r="AK12" i="505"/>
  <c r="AJ12" i="505"/>
  <c r="AI12" i="505"/>
  <c r="AH12" i="505"/>
  <c r="Z12" i="505"/>
  <c r="Y12" i="505"/>
  <c r="AP11" i="505"/>
  <c r="AO11" i="505"/>
  <c r="AN11" i="505"/>
  <c r="AM11" i="505"/>
  <c r="AL11" i="505"/>
  <c r="AK11" i="505"/>
  <c r="AJ11" i="505"/>
  <c r="AI11" i="505"/>
  <c r="AH11" i="505"/>
  <c r="Z11" i="505"/>
  <c r="Y11" i="505"/>
  <c r="AP10" i="505"/>
  <c r="AO10" i="505"/>
  <c r="AN10" i="505"/>
  <c r="AM10" i="505"/>
  <c r="AL10" i="505"/>
  <c r="AK10" i="505"/>
  <c r="AJ10" i="505"/>
  <c r="AI10" i="505"/>
  <c r="AH10" i="505"/>
  <c r="Z10" i="505"/>
  <c r="Y10" i="505"/>
  <c r="AP9" i="505"/>
  <c r="AO9" i="505"/>
  <c r="AN9" i="505"/>
  <c r="AM9" i="505"/>
  <c r="AL9" i="505"/>
  <c r="AK9" i="505"/>
  <c r="AJ9" i="505"/>
  <c r="AI9" i="505"/>
  <c r="AH9" i="505"/>
  <c r="Z9" i="505"/>
  <c r="Y9" i="505"/>
  <c r="AP8" i="505"/>
  <c r="AO8" i="505"/>
  <c r="AN8" i="505"/>
  <c r="AM8" i="505"/>
  <c r="AL8" i="505"/>
  <c r="AK8" i="505"/>
  <c r="AJ8" i="505"/>
  <c r="AI8" i="505"/>
  <c r="AH8" i="505"/>
  <c r="Z8" i="505"/>
  <c r="Y8" i="505"/>
  <c r="AP7" i="505"/>
  <c r="AO7" i="505"/>
  <c r="AN7" i="505"/>
  <c r="AM7" i="505"/>
  <c r="AL7" i="505"/>
  <c r="AK7" i="505"/>
  <c r="AJ7" i="505"/>
  <c r="AI7" i="505"/>
  <c r="AH7" i="505"/>
  <c r="Z7" i="505"/>
  <c r="Y7" i="505"/>
  <c r="AP6" i="505"/>
  <c r="AO6" i="505"/>
  <c r="AN6" i="505"/>
  <c r="AM6" i="505"/>
  <c r="AL6" i="505"/>
  <c r="AK6" i="505"/>
  <c r="AJ6" i="505"/>
  <c r="AI6" i="505"/>
  <c r="AH6" i="505"/>
  <c r="Z6" i="505"/>
  <c r="Y6" i="505"/>
  <c r="Z5" i="505"/>
  <c r="Y5" i="505"/>
  <c r="V1" i="505"/>
  <c r="T1" i="505" s="1"/>
  <c r="E1" i="505"/>
  <c r="B19" i="383"/>
  <c r="V26" i="504"/>
  <c r="U37" i="504"/>
  <c r="R37" i="504"/>
  <c r="O37" i="504"/>
  <c r="L37" i="504"/>
  <c r="I37" i="504"/>
  <c r="F37" i="504"/>
  <c r="C37" i="504"/>
  <c r="V35" i="504" s="1"/>
  <c r="V32" i="504" s="1"/>
  <c r="V20" i="504"/>
  <c r="Z18" i="504"/>
  <c r="Z17" i="504"/>
  <c r="Z16" i="504"/>
  <c r="Z15" i="504"/>
  <c r="Z13" i="504"/>
  <c r="Y13" i="504"/>
  <c r="AP12" i="504"/>
  <c r="AO12" i="504"/>
  <c r="AN12" i="504"/>
  <c r="AM12" i="504"/>
  <c r="AL12" i="504"/>
  <c r="AK12" i="504"/>
  <c r="AJ12" i="504"/>
  <c r="AI12" i="504"/>
  <c r="AH12" i="504"/>
  <c r="Z12" i="504"/>
  <c r="Y12" i="504"/>
  <c r="AP11" i="504"/>
  <c r="AO11" i="504"/>
  <c r="AN11" i="504"/>
  <c r="AM11" i="504"/>
  <c r="AL11" i="504"/>
  <c r="AK11" i="504"/>
  <c r="AJ11" i="504"/>
  <c r="AI11" i="504"/>
  <c r="AH11" i="504"/>
  <c r="Z11" i="504"/>
  <c r="Y11" i="504"/>
  <c r="AP10" i="504"/>
  <c r="AO10" i="504"/>
  <c r="AN10" i="504"/>
  <c r="AM10" i="504"/>
  <c r="AL10" i="504"/>
  <c r="AK10" i="504"/>
  <c r="AJ10" i="504"/>
  <c r="AI10" i="504"/>
  <c r="AH10" i="504"/>
  <c r="Z10" i="504"/>
  <c r="Y10" i="504"/>
  <c r="AP9" i="504"/>
  <c r="AO9" i="504"/>
  <c r="AN9" i="504"/>
  <c r="AM9" i="504"/>
  <c r="AL9" i="504"/>
  <c r="AK9" i="504"/>
  <c r="AJ9" i="504"/>
  <c r="AI9" i="504"/>
  <c r="AH9" i="504"/>
  <c r="Z9" i="504"/>
  <c r="Y9" i="504"/>
  <c r="AP8" i="504"/>
  <c r="AO8" i="504"/>
  <c r="AN8" i="504"/>
  <c r="AM8" i="504"/>
  <c r="AL8" i="504"/>
  <c r="AK8" i="504"/>
  <c r="AJ8" i="504"/>
  <c r="AI8" i="504"/>
  <c r="AH8" i="504"/>
  <c r="Z8" i="504"/>
  <c r="Y8" i="504"/>
  <c r="AP7" i="504"/>
  <c r="AO7" i="504"/>
  <c r="AN7" i="504"/>
  <c r="AM7" i="504"/>
  <c r="AL7" i="504"/>
  <c r="AK7" i="504"/>
  <c r="AJ7" i="504"/>
  <c r="AI7" i="504"/>
  <c r="AH7" i="504"/>
  <c r="Z7" i="504"/>
  <c r="Y7" i="504"/>
  <c r="AP6" i="504"/>
  <c r="AO6" i="504"/>
  <c r="AN6" i="504"/>
  <c r="AM6" i="504"/>
  <c r="AL6" i="504"/>
  <c r="AK6" i="504"/>
  <c r="AJ6" i="504"/>
  <c r="AI6" i="504"/>
  <c r="AH6" i="504"/>
  <c r="Z6" i="504"/>
  <c r="Y6" i="504"/>
  <c r="Z5" i="504"/>
  <c r="Y5" i="504"/>
  <c r="V1" i="504"/>
  <c r="T1" i="504" s="1"/>
  <c r="E1" i="504"/>
  <c r="B18" i="383"/>
  <c r="V26" i="503"/>
  <c r="U37" i="503"/>
  <c r="R37" i="503"/>
  <c r="O37" i="503"/>
  <c r="L37" i="503"/>
  <c r="I37" i="503"/>
  <c r="F37" i="503"/>
  <c r="V35" i="503" s="1"/>
  <c r="V32" i="503" s="1"/>
  <c r="C37" i="503"/>
  <c r="V20" i="503"/>
  <c r="Z18" i="503"/>
  <c r="Z17" i="503"/>
  <c r="Z16" i="503"/>
  <c r="Z15" i="503"/>
  <c r="Z13" i="503"/>
  <c r="Y13" i="503"/>
  <c r="AP12" i="503"/>
  <c r="AO12" i="503"/>
  <c r="AN12" i="503"/>
  <c r="AM12" i="503"/>
  <c r="AL12" i="503"/>
  <c r="AK12" i="503"/>
  <c r="AJ12" i="503"/>
  <c r="AI12" i="503"/>
  <c r="AH12" i="503"/>
  <c r="Z12" i="503"/>
  <c r="Y12" i="503"/>
  <c r="AP11" i="503"/>
  <c r="AO11" i="503"/>
  <c r="AN11" i="503"/>
  <c r="AM11" i="503"/>
  <c r="AL11" i="503"/>
  <c r="AK11" i="503"/>
  <c r="AJ11" i="503"/>
  <c r="AI11" i="503"/>
  <c r="AH11" i="503"/>
  <c r="Z11" i="503"/>
  <c r="Y11" i="503"/>
  <c r="AP10" i="503"/>
  <c r="AO10" i="503"/>
  <c r="AN10" i="503"/>
  <c r="AM10" i="503"/>
  <c r="AL10" i="503"/>
  <c r="AK10" i="503"/>
  <c r="AJ10" i="503"/>
  <c r="AI10" i="503"/>
  <c r="AH10" i="503"/>
  <c r="Z10" i="503"/>
  <c r="Y10" i="503"/>
  <c r="AP9" i="503"/>
  <c r="AO9" i="503"/>
  <c r="AN9" i="503"/>
  <c r="AM9" i="503"/>
  <c r="AL9" i="503"/>
  <c r="AK9" i="503"/>
  <c r="AJ9" i="503"/>
  <c r="AI9" i="503"/>
  <c r="AH9" i="503"/>
  <c r="Z9" i="503"/>
  <c r="Y9" i="503"/>
  <c r="AP8" i="503"/>
  <c r="AO8" i="503"/>
  <c r="AN8" i="503"/>
  <c r="AM8" i="503"/>
  <c r="AL8" i="503"/>
  <c r="AK8" i="503"/>
  <c r="AJ8" i="503"/>
  <c r="AI8" i="503"/>
  <c r="AH8" i="503"/>
  <c r="Z8" i="503"/>
  <c r="Y8" i="503"/>
  <c r="AP7" i="503"/>
  <c r="AO7" i="503"/>
  <c r="AN7" i="503"/>
  <c r="AM7" i="503"/>
  <c r="AL7" i="503"/>
  <c r="AK7" i="503"/>
  <c r="AJ7" i="503"/>
  <c r="AI7" i="503"/>
  <c r="AH7" i="503"/>
  <c r="Z7" i="503"/>
  <c r="Y7" i="503"/>
  <c r="AP6" i="503"/>
  <c r="AO6" i="503"/>
  <c r="AN6" i="503"/>
  <c r="AM6" i="503"/>
  <c r="AL6" i="503"/>
  <c r="AK6" i="503"/>
  <c r="AJ6" i="503"/>
  <c r="AI6" i="503"/>
  <c r="AH6" i="503"/>
  <c r="Z6" i="503"/>
  <c r="Y6" i="503"/>
  <c r="Z5" i="503"/>
  <c r="Y5" i="503"/>
  <c r="V1" i="503"/>
  <c r="T1" i="503" s="1"/>
  <c r="E1" i="503"/>
  <c r="B17" i="383"/>
  <c r="V26" i="502"/>
  <c r="U37" i="502"/>
  <c r="R37" i="502"/>
  <c r="O37" i="502"/>
  <c r="L37" i="502"/>
  <c r="I37" i="502"/>
  <c r="F37" i="502"/>
  <c r="C37" i="502"/>
  <c r="V35" i="502"/>
  <c r="V32" i="502" s="1"/>
  <c r="V20" i="502"/>
  <c r="Z18" i="502"/>
  <c r="Z17" i="502"/>
  <c r="Z16" i="502"/>
  <c r="Z15" i="502"/>
  <c r="Z13" i="502"/>
  <c r="Y13" i="502"/>
  <c r="AP12" i="502"/>
  <c r="AO12" i="502"/>
  <c r="AN12" i="502"/>
  <c r="AM12" i="502"/>
  <c r="AL12" i="502"/>
  <c r="AK12" i="502"/>
  <c r="AJ12" i="502"/>
  <c r="AI12" i="502"/>
  <c r="AH12" i="502"/>
  <c r="Z12" i="502"/>
  <c r="Y12" i="502"/>
  <c r="AP11" i="502"/>
  <c r="AO11" i="502"/>
  <c r="AN11" i="502"/>
  <c r="AM11" i="502"/>
  <c r="AL11" i="502"/>
  <c r="AK11" i="502"/>
  <c r="AJ11" i="502"/>
  <c r="AI11" i="502"/>
  <c r="AH11" i="502"/>
  <c r="Z11" i="502"/>
  <c r="Y11" i="502"/>
  <c r="AP10" i="502"/>
  <c r="AO10" i="502"/>
  <c r="AN10" i="502"/>
  <c r="AM10" i="502"/>
  <c r="AL10" i="502"/>
  <c r="AK10" i="502"/>
  <c r="AJ10" i="502"/>
  <c r="AI10" i="502"/>
  <c r="AH10" i="502"/>
  <c r="Z10" i="502"/>
  <c r="Y10" i="502"/>
  <c r="AP9" i="502"/>
  <c r="AO9" i="502"/>
  <c r="AN9" i="502"/>
  <c r="AM9" i="502"/>
  <c r="AL9" i="502"/>
  <c r="AK9" i="502"/>
  <c r="AJ9" i="502"/>
  <c r="AI9" i="502"/>
  <c r="AH9" i="502"/>
  <c r="Z9" i="502"/>
  <c r="Y9" i="502"/>
  <c r="AP8" i="502"/>
  <c r="AO8" i="502"/>
  <c r="AN8" i="502"/>
  <c r="AM8" i="502"/>
  <c r="AL8" i="502"/>
  <c r="AK8" i="502"/>
  <c r="AJ8" i="502"/>
  <c r="AI8" i="502"/>
  <c r="AH8" i="502"/>
  <c r="Z8" i="502"/>
  <c r="Y8" i="502"/>
  <c r="AP7" i="502"/>
  <c r="AO7" i="502"/>
  <c r="AN7" i="502"/>
  <c r="AM7" i="502"/>
  <c r="AL7" i="502"/>
  <c r="AK7" i="502"/>
  <c r="AJ7" i="502"/>
  <c r="AI7" i="502"/>
  <c r="AH7" i="502"/>
  <c r="Z7" i="502"/>
  <c r="Y7" i="502"/>
  <c r="AP6" i="502"/>
  <c r="AO6" i="502"/>
  <c r="AN6" i="502"/>
  <c r="AM6" i="502"/>
  <c r="AL6" i="502"/>
  <c r="AK6" i="502"/>
  <c r="AJ6" i="502"/>
  <c r="AI6" i="502"/>
  <c r="AH6" i="502"/>
  <c r="Z6" i="502"/>
  <c r="Y6" i="502"/>
  <c r="Z5" i="502"/>
  <c r="Y5" i="502"/>
  <c r="V1" i="502"/>
  <c r="T1" i="502" s="1"/>
  <c r="R1" i="502"/>
  <c r="A2" i="502" s="1"/>
  <c r="D2" i="502" s="1"/>
  <c r="G2" i="502" s="1"/>
  <c r="J2" i="502" s="1"/>
  <c r="M2" i="502" s="1"/>
  <c r="P2" i="502" s="1"/>
  <c r="S2" i="502" s="1"/>
  <c r="E1" i="502"/>
  <c r="B16" i="383"/>
  <c r="V26" i="501"/>
  <c r="U37" i="501"/>
  <c r="R37" i="501"/>
  <c r="O37" i="501"/>
  <c r="L37" i="501"/>
  <c r="I37" i="501"/>
  <c r="F37" i="501"/>
  <c r="V35" i="501" s="1"/>
  <c r="V32" i="501" s="1"/>
  <c r="C37" i="501"/>
  <c r="V20" i="501"/>
  <c r="Z18" i="501"/>
  <c r="Z17" i="501"/>
  <c r="Z16" i="501"/>
  <c r="Z15" i="501"/>
  <c r="Z13" i="501"/>
  <c r="Y13" i="501"/>
  <c r="AP12" i="501"/>
  <c r="AO12" i="501"/>
  <c r="AN12" i="501"/>
  <c r="AM12" i="501"/>
  <c r="AL12" i="501"/>
  <c r="AK12" i="501"/>
  <c r="AJ12" i="501"/>
  <c r="AI12" i="501"/>
  <c r="AH12" i="501"/>
  <c r="Z12" i="501"/>
  <c r="Y12" i="501"/>
  <c r="AP11" i="501"/>
  <c r="AO11" i="501"/>
  <c r="AN11" i="501"/>
  <c r="AM11" i="501"/>
  <c r="AL11" i="501"/>
  <c r="AK11" i="501"/>
  <c r="AJ11" i="501"/>
  <c r="AI11" i="501"/>
  <c r="AH11" i="501"/>
  <c r="Z11" i="501"/>
  <c r="Y11" i="501"/>
  <c r="AP10" i="501"/>
  <c r="AO10" i="501"/>
  <c r="AN10" i="501"/>
  <c r="AM10" i="501"/>
  <c r="AL10" i="501"/>
  <c r="AK10" i="501"/>
  <c r="AJ10" i="501"/>
  <c r="AI10" i="501"/>
  <c r="AH10" i="501"/>
  <c r="Z10" i="501"/>
  <c r="Y10" i="501"/>
  <c r="AP9" i="501"/>
  <c r="AO9" i="501"/>
  <c r="AN9" i="501"/>
  <c r="AM9" i="501"/>
  <c r="AL9" i="501"/>
  <c r="AK9" i="501"/>
  <c r="AJ9" i="501"/>
  <c r="AI9" i="501"/>
  <c r="AH9" i="501"/>
  <c r="Z9" i="501"/>
  <c r="Y9" i="501"/>
  <c r="AP8" i="501"/>
  <c r="AO8" i="501"/>
  <c r="AN8" i="501"/>
  <c r="AM8" i="501"/>
  <c r="AL8" i="501"/>
  <c r="AK8" i="501"/>
  <c r="AJ8" i="501"/>
  <c r="AI8" i="501"/>
  <c r="AH8" i="501"/>
  <c r="Z8" i="501"/>
  <c r="Y8" i="501"/>
  <c r="AP7" i="501"/>
  <c r="AO7" i="501"/>
  <c r="AN7" i="501"/>
  <c r="AM7" i="501"/>
  <c r="AL7" i="501"/>
  <c r="AK7" i="501"/>
  <c r="AJ7" i="501"/>
  <c r="AI7" i="501"/>
  <c r="AH7" i="501"/>
  <c r="Z7" i="501"/>
  <c r="Y7" i="501"/>
  <c r="AP6" i="501"/>
  <c r="AO6" i="501"/>
  <c r="AN6" i="501"/>
  <c r="AM6" i="501"/>
  <c r="AL6" i="501"/>
  <c r="AK6" i="501"/>
  <c r="AJ6" i="501"/>
  <c r="AI6" i="501"/>
  <c r="AH6" i="501"/>
  <c r="Z6" i="501"/>
  <c r="Y6" i="501"/>
  <c r="Z5" i="501"/>
  <c r="Y5" i="501"/>
  <c r="V1" i="501"/>
  <c r="T1" i="501" s="1"/>
  <c r="R1" i="501"/>
  <c r="A2" i="501" s="1"/>
  <c r="D2" i="501" s="1"/>
  <c r="G2" i="501" s="1"/>
  <c r="J2" i="501" s="1"/>
  <c r="M2" i="501" s="1"/>
  <c r="P2" i="501" s="1"/>
  <c r="S2" i="501" s="1"/>
  <c r="E1" i="501"/>
  <c r="B15" i="383"/>
  <c r="V26" i="500"/>
  <c r="U37" i="500"/>
  <c r="R37" i="500"/>
  <c r="O37" i="500"/>
  <c r="L37" i="500"/>
  <c r="I37" i="500"/>
  <c r="F37" i="500"/>
  <c r="C37" i="500"/>
  <c r="V35" i="500" s="1"/>
  <c r="V32" i="500" s="1"/>
  <c r="V20" i="500"/>
  <c r="Z18" i="500"/>
  <c r="Z17" i="500"/>
  <c r="Z16" i="500"/>
  <c r="Z15" i="500"/>
  <c r="Z13" i="500"/>
  <c r="Y13" i="500"/>
  <c r="AP12" i="500"/>
  <c r="AO12" i="500"/>
  <c r="AN12" i="500"/>
  <c r="AM12" i="500"/>
  <c r="AL12" i="500"/>
  <c r="AK12" i="500"/>
  <c r="AJ12" i="500"/>
  <c r="AI12" i="500"/>
  <c r="AH12" i="500"/>
  <c r="Z12" i="500"/>
  <c r="Y12" i="500"/>
  <c r="AP11" i="500"/>
  <c r="AO11" i="500"/>
  <c r="AN11" i="500"/>
  <c r="AM11" i="500"/>
  <c r="AL11" i="500"/>
  <c r="AK11" i="500"/>
  <c r="AJ11" i="500"/>
  <c r="AI11" i="500"/>
  <c r="AH11" i="500"/>
  <c r="Z11" i="500"/>
  <c r="Y11" i="500"/>
  <c r="AP10" i="500"/>
  <c r="AO10" i="500"/>
  <c r="AN10" i="500"/>
  <c r="AM10" i="500"/>
  <c r="AL10" i="500"/>
  <c r="AK10" i="500"/>
  <c r="AJ10" i="500"/>
  <c r="AI10" i="500"/>
  <c r="AH10" i="500"/>
  <c r="Z10" i="500"/>
  <c r="Y10" i="500"/>
  <c r="AP9" i="500"/>
  <c r="AO9" i="500"/>
  <c r="AN9" i="500"/>
  <c r="AM9" i="500"/>
  <c r="AL9" i="500"/>
  <c r="AK9" i="500"/>
  <c r="AJ9" i="500"/>
  <c r="AI9" i="500"/>
  <c r="AH9" i="500"/>
  <c r="Z9" i="500"/>
  <c r="Y9" i="500"/>
  <c r="AP8" i="500"/>
  <c r="AO8" i="500"/>
  <c r="AN8" i="500"/>
  <c r="AM8" i="500"/>
  <c r="AL8" i="500"/>
  <c r="AK8" i="500"/>
  <c r="AJ8" i="500"/>
  <c r="AI8" i="500"/>
  <c r="AH8" i="500"/>
  <c r="Z8" i="500"/>
  <c r="Y8" i="500"/>
  <c r="AP7" i="500"/>
  <c r="AO7" i="500"/>
  <c r="AN7" i="500"/>
  <c r="AM7" i="500"/>
  <c r="AL7" i="500"/>
  <c r="AK7" i="500"/>
  <c r="AJ7" i="500"/>
  <c r="AI7" i="500"/>
  <c r="AH7" i="500"/>
  <c r="Z7" i="500"/>
  <c r="Y7" i="500"/>
  <c r="AP6" i="500"/>
  <c r="AO6" i="500"/>
  <c r="AN6" i="500"/>
  <c r="AM6" i="500"/>
  <c r="AL6" i="500"/>
  <c r="AK6" i="500"/>
  <c r="AJ6" i="500"/>
  <c r="AI6" i="500"/>
  <c r="AH6" i="500"/>
  <c r="Z6" i="500"/>
  <c r="Y6" i="500"/>
  <c r="Z5" i="500"/>
  <c r="Y5" i="500"/>
  <c r="V1" i="500"/>
  <c r="T1" i="500" s="1"/>
  <c r="E1" i="500"/>
  <c r="B14" i="383"/>
  <c r="V26" i="499"/>
  <c r="U37" i="499"/>
  <c r="R37" i="499"/>
  <c r="O37" i="499"/>
  <c r="L37" i="499"/>
  <c r="I37" i="499"/>
  <c r="F37" i="499"/>
  <c r="C37" i="499"/>
  <c r="V35" i="499"/>
  <c r="V32" i="499" s="1"/>
  <c r="V20" i="499"/>
  <c r="Z18" i="499"/>
  <c r="Z17" i="499"/>
  <c r="Z16" i="499"/>
  <c r="Z15" i="499"/>
  <c r="Z13" i="499"/>
  <c r="Y13" i="499"/>
  <c r="AP12" i="499"/>
  <c r="AO12" i="499"/>
  <c r="AN12" i="499"/>
  <c r="AM12" i="499"/>
  <c r="AL12" i="499"/>
  <c r="AK12" i="499"/>
  <c r="AJ12" i="499"/>
  <c r="AI12" i="499"/>
  <c r="AH12" i="499"/>
  <c r="Z12" i="499"/>
  <c r="Y12" i="499"/>
  <c r="AP11" i="499"/>
  <c r="AO11" i="499"/>
  <c r="AN11" i="499"/>
  <c r="AM11" i="499"/>
  <c r="AL11" i="499"/>
  <c r="AK11" i="499"/>
  <c r="AJ11" i="499"/>
  <c r="AI11" i="499"/>
  <c r="AH11" i="499"/>
  <c r="Z11" i="499"/>
  <c r="Y11" i="499"/>
  <c r="AP10" i="499"/>
  <c r="AO10" i="499"/>
  <c r="AN10" i="499"/>
  <c r="AM10" i="499"/>
  <c r="AL10" i="499"/>
  <c r="AK10" i="499"/>
  <c r="AJ10" i="499"/>
  <c r="AI10" i="499"/>
  <c r="AH10" i="499"/>
  <c r="Z10" i="499"/>
  <c r="Y10" i="499"/>
  <c r="AP9" i="499"/>
  <c r="AO9" i="499"/>
  <c r="AN9" i="499"/>
  <c r="AM9" i="499"/>
  <c r="AL9" i="499"/>
  <c r="AK9" i="499"/>
  <c r="AJ9" i="499"/>
  <c r="AI9" i="499"/>
  <c r="AH9" i="499"/>
  <c r="Z9" i="499"/>
  <c r="Y9" i="499"/>
  <c r="AP8" i="499"/>
  <c r="AO8" i="499"/>
  <c r="AN8" i="499"/>
  <c r="AM8" i="499"/>
  <c r="AL8" i="499"/>
  <c r="AK8" i="499"/>
  <c r="AJ8" i="499"/>
  <c r="AI8" i="499"/>
  <c r="AH8" i="499"/>
  <c r="Z8" i="499"/>
  <c r="Y8" i="499"/>
  <c r="AP7" i="499"/>
  <c r="AO7" i="499"/>
  <c r="AN7" i="499"/>
  <c r="AM7" i="499"/>
  <c r="AL7" i="499"/>
  <c r="AK7" i="499"/>
  <c r="AJ7" i="499"/>
  <c r="AI7" i="499"/>
  <c r="AH7" i="499"/>
  <c r="Z7" i="499"/>
  <c r="Y7" i="499"/>
  <c r="AP6" i="499"/>
  <c r="AO6" i="499"/>
  <c r="AN6" i="499"/>
  <c r="AM6" i="499"/>
  <c r="AL6" i="499"/>
  <c r="AK6" i="499"/>
  <c r="AJ6" i="499"/>
  <c r="AI6" i="499"/>
  <c r="AH6" i="499"/>
  <c r="Z6" i="499"/>
  <c r="Y6" i="499"/>
  <c r="Z5" i="499"/>
  <c r="Y5" i="499"/>
  <c r="V1" i="499"/>
  <c r="T1" i="499"/>
  <c r="R1" i="499"/>
  <c r="A3" i="499" s="1"/>
  <c r="E1" i="499"/>
  <c r="B13" i="383"/>
  <c r="V26" i="498"/>
  <c r="U37" i="498"/>
  <c r="R37" i="498"/>
  <c r="O37" i="498"/>
  <c r="L37" i="498"/>
  <c r="I37" i="498"/>
  <c r="F37" i="498"/>
  <c r="C37" i="498"/>
  <c r="V35" i="498" s="1"/>
  <c r="V32" i="498" s="1"/>
  <c r="V20" i="498"/>
  <c r="Z18" i="498"/>
  <c r="Z17" i="498"/>
  <c r="Z16" i="498"/>
  <c r="Z15" i="498"/>
  <c r="Z13" i="498"/>
  <c r="Y13" i="498"/>
  <c r="AP12" i="498"/>
  <c r="AO12" i="498"/>
  <c r="AN12" i="498"/>
  <c r="AM12" i="498"/>
  <c r="AL12" i="498"/>
  <c r="AK12" i="498"/>
  <c r="AJ12" i="498"/>
  <c r="AI12" i="498"/>
  <c r="AH12" i="498"/>
  <c r="Z12" i="498"/>
  <c r="Y12" i="498"/>
  <c r="AP11" i="498"/>
  <c r="AO11" i="498"/>
  <c r="AN11" i="498"/>
  <c r="AM11" i="498"/>
  <c r="AL11" i="498"/>
  <c r="AK11" i="498"/>
  <c r="AJ11" i="498"/>
  <c r="AI11" i="498"/>
  <c r="AH11" i="498"/>
  <c r="Z11" i="498"/>
  <c r="Y11" i="498"/>
  <c r="AP10" i="498"/>
  <c r="AO10" i="498"/>
  <c r="AN10" i="498"/>
  <c r="AM10" i="498"/>
  <c r="AL10" i="498"/>
  <c r="AK10" i="498"/>
  <c r="AJ10" i="498"/>
  <c r="AI10" i="498"/>
  <c r="AH10" i="498"/>
  <c r="Z10" i="498"/>
  <c r="Y10" i="498"/>
  <c r="AP9" i="498"/>
  <c r="AO9" i="498"/>
  <c r="AN9" i="498"/>
  <c r="AM9" i="498"/>
  <c r="AL9" i="498"/>
  <c r="AK9" i="498"/>
  <c r="AJ9" i="498"/>
  <c r="AI9" i="498"/>
  <c r="AH9" i="498"/>
  <c r="Z9" i="498"/>
  <c r="Y9" i="498"/>
  <c r="AP8" i="498"/>
  <c r="AO8" i="498"/>
  <c r="AN8" i="498"/>
  <c r="AM8" i="498"/>
  <c r="AL8" i="498"/>
  <c r="AK8" i="498"/>
  <c r="AJ8" i="498"/>
  <c r="AI8" i="498"/>
  <c r="AH8" i="498"/>
  <c r="Z8" i="498"/>
  <c r="Y8" i="498"/>
  <c r="AP7" i="498"/>
  <c r="AO7" i="498"/>
  <c r="AN7" i="498"/>
  <c r="AM7" i="498"/>
  <c r="AL7" i="498"/>
  <c r="AK7" i="498"/>
  <c r="AJ7" i="498"/>
  <c r="AI7" i="498"/>
  <c r="AH7" i="498"/>
  <c r="Z7" i="498"/>
  <c r="Y7" i="498"/>
  <c r="AP6" i="498"/>
  <c r="AO6" i="498"/>
  <c r="AN6" i="498"/>
  <c r="AM6" i="498"/>
  <c r="AL6" i="498"/>
  <c r="AK6" i="498"/>
  <c r="AJ6" i="498"/>
  <c r="AI6" i="498"/>
  <c r="AH6" i="498"/>
  <c r="Z6" i="498"/>
  <c r="Y6" i="498"/>
  <c r="Z5" i="498"/>
  <c r="Y5" i="498"/>
  <c r="V1" i="498"/>
  <c r="R1" i="498" s="1"/>
  <c r="T1" i="498"/>
  <c r="E1" i="498"/>
  <c r="B12" i="383"/>
  <c r="V26" i="497"/>
  <c r="U37" i="497"/>
  <c r="R37" i="497"/>
  <c r="O37" i="497"/>
  <c r="L37" i="497"/>
  <c r="I37" i="497"/>
  <c r="F37" i="497"/>
  <c r="C37" i="497"/>
  <c r="V35" i="497" s="1"/>
  <c r="V32" i="497" s="1"/>
  <c r="V20" i="497"/>
  <c r="Z18" i="497"/>
  <c r="Z17" i="497"/>
  <c r="Z16" i="497"/>
  <c r="Z15" i="497"/>
  <c r="Z13" i="497"/>
  <c r="Y13" i="497"/>
  <c r="AP12" i="497"/>
  <c r="AO12" i="497"/>
  <c r="AN12" i="497"/>
  <c r="AM12" i="497"/>
  <c r="AL12" i="497"/>
  <c r="AK12" i="497"/>
  <c r="AJ12" i="497"/>
  <c r="AI12" i="497"/>
  <c r="AH12" i="497"/>
  <c r="Z12" i="497"/>
  <c r="Y12" i="497"/>
  <c r="AP11" i="497"/>
  <c r="AO11" i="497"/>
  <c r="AN11" i="497"/>
  <c r="AM11" i="497"/>
  <c r="AL11" i="497"/>
  <c r="AK11" i="497"/>
  <c r="AJ11" i="497"/>
  <c r="AI11" i="497"/>
  <c r="AH11" i="497"/>
  <c r="Z11" i="497"/>
  <c r="Y11" i="497"/>
  <c r="AP10" i="497"/>
  <c r="AO10" i="497"/>
  <c r="AN10" i="497"/>
  <c r="AM10" i="497"/>
  <c r="AL10" i="497"/>
  <c r="AK10" i="497"/>
  <c r="AJ10" i="497"/>
  <c r="AI10" i="497"/>
  <c r="AH10" i="497"/>
  <c r="Z10" i="497"/>
  <c r="Y10" i="497"/>
  <c r="AP9" i="497"/>
  <c r="AO9" i="497"/>
  <c r="AN9" i="497"/>
  <c r="AM9" i="497"/>
  <c r="AL9" i="497"/>
  <c r="AK9" i="497"/>
  <c r="AJ9" i="497"/>
  <c r="AI9" i="497"/>
  <c r="AH9" i="497"/>
  <c r="Z9" i="497"/>
  <c r="Y9" i="497"/>
  <c r="AP8" i="497"/>
  <c r="AO8" i="497"/>
  <c r="AN8" i="497"/>
  <c r="AM8" i="497"/>
  <c r="AL8" i="497"/>
  <c r="AK8" i="497"/>
  <c r="AJ8" i="497"/>
  <c r="AI8" i="497"/>
  <c r="AH8" i="497"/>
  <c r="Z8" i="497"/>
  <c r="Y8" i="497"/>
  <c r="AP7" i="497"/>
  <c r="AO7" i="497"/>
  <c r="AN7" i="497"/>
  <c r="AM7" i="497"/>
  <c r="AL7" i="497"/>
  <c r="AK7" i="497"/>
  <c r="AJ7" i="497"/>
  <c r="AI7" i="497"/>
  <c r="AH7" i="497"/>
  <c r="Z7" i="497"/>
  <c r="Y7" i="497"/>
  <c r="AP6" i="497"/>
  <c r="AO6" i="497"/>
  <c r="AN6" i="497"/>
  <c r="AM6" i="497"/>
  <c r="AL6" i="497"/>
  <c r="AK6" i="497"/>
  <c r="AJ6" i="497"/>
  <c r="AI6" i="497"/>
  <c r="AH6" i="497"/>
  <c r="Z6" i="497"/>
  <c r="Y6" i="497"/>
  <c r="Z5" i="497"/>
  <c r="Y5" i="497"/>
  <c r="V1" i="497"/>
  <c r="T1" i="497"/>
  <c r="R1" i="497"/>
  <c r="A2" i="497" s="1"/>
  <c r="D2" i="497" s="1"/>
  <c r="G2" i="497" s="1"/>
  <c r="J2" i="497" s="1"/>
  <c r="M2" i="497" s="1"/>
  <c r="P2" i="497" s="1"/>
  <c r="S2" i="497" s="1"/>
  <c r="E1" i="497"/>
  <c r="B11" i="383"/>
  <c r="V26" i="496"/>
  <c r="U37" i="496"/>
  <c r="R37" i="496"/>
  <c r="O37" i="496"/>
  <c r="L37" i="496"/>
  <c r="I37" i="496"/>
  <c r="F37" i="496"/>
  <c r="C37" i="496"/>
  <c r="V35" i="496" s="1"/>
  <c r="V32" i="496" s="1"/>
  <c r="V20" i="496"/>
  <c r="Z18" i="496"/>
  <c r="Z17" i="496"/>
  <c r="Z16" i="496"/>
  <c r="Z15" i="496"/>
  <c r="Z13" i="496"/>
  <c r="Y13" i="496"/>
  <c r="AP12" i="496"/>
  <c r="AO12" i="496"/>
  <c r="AN12" i="496"/>
  <c r="AM12" i="496"/>
  <c r="AL12" i="496"/>
  <c r="AK12" i="496"/>
  <c r="AJ12" i="496"/>
  <c r="AI12" i="496"/>
  <c r="AH12" i="496"/>
  <c r="Z12" i="496"/>
  <c r="Y12" i="496"/>
  <c r="AP11" i="496"/>
  <c r="AO11" i="496"/>
  <c r="AN11" i="496"/>
  <c r="AM11" i="496"/>
  <c r="AL11" i="496"/>
  <c r="AK11" i="496"/>
  <c r="AJ11" i="496"/>
  <c r="AI11" i="496"/>
  <c r="AH11" i="496"/>
  <c r="Z11" i="496"/>
  <c r="Y11" i="496"/>
  <c r="AP10" i="496"/>
  <c r="AO10" i="496"/>
  <c r="AN10" i="496"/>
  <c r="AM10" i="496"/>
  <c r="AL10" i="496"/>
  <c r="AK10" i="496"/>
  <c r="AJ10" i="496"/>
  <c r="AI10" i="496"/>
  <c r="AH10" i="496"/>
  <c r="Z10" i="496"/>
  <c r="Y10" i="496"/>
  <c r="AP9" i="496"/>
  <c r="AO9" i="496"/>
  <c r="AN9" i="496"/>
  <c r="AM9" i="496"/>
  <c r="AL9" i="496"/>
  <c r="AK9" i="496"/>
  <c r="AJ9" i="496"/>
  <c r="AI9" i="496"/>
  <c r="AH9" i="496"/>
  <c r="Z9" i="496"/>
  <c r="Y9" i="496"/>
  <c r="AP8" i="496"/>
  <c r="AO8" i="496"/>
  <c r="AN8" i="496"/>
  <c r="AM8" i="496"/>
  <c r="AL8" i="496"/>
  <c r="AK8" i="496"/>
  <c r="AJ8" i="496"/>
  <c r="AI8" i="496"/>
  <c r="AH8" i="496"/>
  <c r="Z8" i="496"/>
  <c r="Y8" i="496"/>
  <c r="AP7" i="496"/>
  <c r="AO7" i="496"/>
  <c r="AN7" i="496"/>
  <c r="AM7" i="496"/>
  <c r="AL7" i="496"/>
  <c r="AK7" i="496"/>
  <c r="AJ7" i="496"/>
  <c r="AI7" i="496"/>
  <c r="AH7" i="496"/>
  <c r="Z7" i="496"/>
  <c r="Y7" i="496"/>
  <c r="AP6" i="496"/>
  <c r="AO6" i="496"/>
  <c r="AN6" i="496"/>
  <c r="AM6" i="496"/>
  <c r="AL6" i="496"/>
  <c r="AK6" i="496"/>
  <c r="AJ6" i="496"/>
  <c r="AI6" i="496"/>
  <c r="AH6" i="496"/>
  <c r="Z6" i="496"/>
  <c r="Y6" i="496"/>
  <c r="Z5" i="496"/>
  <c r="Y5" i="496"/>
  <c r="V1" i="496"/>
  <c r="R1" i="496" s="1"/>
  <c r="T1" i="496"/>
  <c r="E1" i="496"/>
  <c r="B10" i="383"/>
  <c r="V26" i="495"/>
  <c r="U37" i="495"/>
  <c r="R37" i="495"/>
  <c r="O37" i="495"/>
  <c r="L37" i="495"/>
  <c r="I37" i="495"/>
  <c r="F37" i="495"/>
  <c r="C37" i="495"/>
  <c r="V35" i="495"/>
  <c r="V32" i="495" s="1"/>
  <c r="V20" i="495"/>
  <c r="Z18" i="495"/>
  <c r="Z17" i="495"/>
  <c r="Z16" i="495"/>
  <c r="Z15" i="495"/>
  <c r="Z13" i="495"/>
  <c r="Y13" i="495"/>
  <c r="AP12" i="495"/>
  <c r="AO12" i="495"/>
  <c r="AN12" i="495"/>
  <c r="AM12" i="495"/>
  <c r="AL12" i="495"/>
  <c r="AK12" i="495"/>
  <c r="AJ12" i="495"/>
  <c r="AI12" i="495"/>
  <c r="AH12" i="495"/>
  <c r="Z12" i="495"/>
  <c r="Y12" i="495"/>
  <c r="AP11" i="495"/>
  <c r="AO11" i="495"/>
  <c r="AN11" i="495"/>
  <c r="AM11" i="495"/>
  <c r="AL11" i="495"/>
  <c r="AK11" i="495"/>
  <c r="AJ11" i="495"/>
  <c r="AI11" i="495"/>
  <c r="AH11" i="495"/>
  <c r="Z11" i="495"/>
  <c r="Y11" i="495"/>
  <c r="AP10" i="495"/>
  <c r="AO10" i="495"/>
  <c r="AN10" i="495"/>
  <c r="AM10" i="495"/>
  <c r="AL10" i="495"/>
  <c r="AK10" i="495"/>
  <c r="AJ10" i="495"/>
  <c r="AI10" i="495"/>
  <c r="AH10" i="495"/>
  <c r="Z10" i="495"/>
  <c r="Y10" i="495"/>
  <c r="AP9" i="495"/>
  <c r="AO9" i="495"/>
  <c r="AN9" i="495"/>
  <c r="AM9" i="495"/>
  <c r="AL9" i="495"/>
  <c r="AK9" i="495"/>
  <c r="AJ9" i="495"/>
  <c r="AI9" i="495"/>
  <c r="AH9" i="495"/>
  <c r="Z9" i="495"/>
  <c r="Y9" i="495"/>
  <c r="AP8" i="495"/>
  <c r="AO8" i="495"/>
  <c r="AN8" i="495"/>
  <c r="AM8" i="495"/>
  <c r="AL8" i="495"/>
  <c r="AK8" i="495"/>
  <c r="AJ8" i="495"/>
  <c r="AI8" i="495"/>
  <c r="AH8" i="495"/>
  <c r="Z8" i="495"/>
  <c r="Y8" i="495"/>
  <c r="AP7" i="495"/>
  <c r="AO7" i="495"/>
  <c r="AN7" i="495"/>
  <c r="AM7" i="495"/>
  <c r="AL7" i="495"/>
  <c r="AK7" i="495"/>
  <c r="AJ7" i="495"/>
  <c r="AI7" i="495"/>
  <c r="AH7" i="495"/>
  <c r="Z7" i="495"/>
  <c r="Y7" i="495"/>
  <c r="AP6" i="495"/>
  <c r="AO6" i="495"/>
  <c r="AN6" i="495"/>
  <c r="AM6" i="495"/>
  <c r="AL6" i="495"/>
  <c r="AK6" i="495"/>
  <c r="AJ6" i="495"/>
  <c r="AI6" i="495"/>
  <c r="AH6" i="495"/>
  <c r="Z6" i="495"/>
  <c r="Y6" i="495"/>
  <c r="Z5" i="495"/>
  <c r="Y5" i="495"/>
  <c r="V1" i="495"/>
  <c r="T1" i="495"/>
  <c r="R1" i="495"/>
  <c r="A2" i="495" s="1"/>
  <c r="D2" i="495" s="1"/>
  <c r="G2" i="495" s="1"/>
  <c r="J2" i="495" s="1"/>
  <c r="M2" i="495" s="1"/>
  <c r="P2" i="495" s="1"/>
  <c r="S2" i="495" s="1"/>
  <c r="E1" i="495"/>
  <c r="B9" i="383"/>
  <c r="V26" i="494"/>
  <c r="U37" i="494"/>
  <c r="R37" i="494"/>
  <c r="O37" i="494"/>
  <c r="L37" i="494"/>
  <c r="I37" i="494"/>
  <c r="F37" i="494"/>
  <c r="C37" i="494"/>
  <c r="V35" i="494" s="1"/>
  <c r="V32" i="494" s="1"/>
  <c r="V20" i="494"/>
  <c r="Z18" i="494"/>
  <c r="Z17" i="494"/>
  <c r="Z16" i="494"/>
  <c r="Z15" i="494"/>
  <c r="Z13" i="494"/>
  <c r="Y13" i="494"/>
  <c r="AP12" i="494"/>
  <c r="AO12" i="494"/>
  <c r="AN12" i="494"/>
  <c r="AM12" i="494"/>
  <c r="AL12" i="494"/>
  <c r="AK12" i="494"/>
  <c r="AJ12" i="494"/>
  <c r="AI12" i="494"/>
  <c r="AH12" i="494"/>
  <c r="Z12" i="494"/>
  <c r="Y12" i="494"/>
  <c r="AP11" i="494"/>
  <c r="AO11" i="494"/>
  <c r="AN11" i="494"/>
  <c r="AM11" i="494"/>
  <c r="AL11" i="494"/>
  <c r="AK11" i="494"/>
  <c r="AJ11" i="494"/>
  <c r="AI11" i="494"/>
  <c r="AH11" i="494"/>
  <c r="Z11" i="494"/>
  <c r="Y11" i="494"/>
  <c r="AP10" i="494"/>
  <c r="AO10" i="494"/>
  <c r="AN10" i="494"/>
  <c r="AM10" i="494"/>
  <c r="AL10" i="494"/>
  <c r="AK10" i="494"/>
  <c r="AJ10" i="494"/>
  <c r="AI10" i="494"/>
  <c r="AH10" i="494"/>
  <c r="Z10" i="494"/>
  <c r="Y10" i="494"/>
  <c r="AP9" i="494"/>
  <c r="AO9" i="494"/>
  <c r="AN9" i="494"/>
  <c r="AM9" i="494"/>
  <c r="AL9" i="494"/>
  <c r="AK9" i="494"/>
  <c r="AJ9" i="494"/>
  <c r="AI9" i="494"/>
  <c r="AH9" i="494"/>
  <c r="Z9" i="494"/>
  <c r="Y9" i="494"/>
  <c r="AP8" i="494"/>
  <c r="AO8" i="494"/>
  <c r="AN8" i="494"/>
  <c r="AM8" i="494"/>
  <c r="AL8" i="494"/>
  <c r="AK8" i="494"/>
  <c r="AJ8" i="494"/>
  <c r="AI8" i="494"/>
  <c r="AH8" i="494"/>
  <c r="Z8" i="494"/>
  <c r="Y8" i="494"/>
  <c r="AP7" i="494"/>
  <c r="AO7" i="494"/>
  <c r="AN7" i="494"/>
  <c r="AM7" i="494"/>
  <c r="AL7" i="494"/>
  <c r="AK7" i="494"/>
  <c r="AJ7" i="494"/>
  <c r="AI7" i="494"/>
  <c r="AH7" i="494"/>
  <c r="Z7" i="494"/>
  <c r="Y7" i="494"/>
  <c r="AP6" i="494"/>
  <c r="AO6" i="494"/>
  <c r="AN6" i="494"/>
  <c r="AM6" i="494"/>
  <c r="AL6" i="494"/>
  <c r="AK6" i="494"/>
  <c r="AJ6" i="494"/>
  <c r="AI6" i="494"/>
  <c r="AH6" i="494"/>
  <c r="Z6" i="494"/>
  <c r="Y6" i="494"/>
  <c r="Z5" i="494"/>
  <c r="Y5" i="494"/>
  <c r="V1" i="494"/>
  <c r="T1" i="494"/>
  <c r="R1" i="494"/>
  <c r="A3" i="494" s="1"/>
  <c r="E1" i="494"/>
  <c r="B8" i="383"/>
  <c r="V26" i="493"/>
  <c r="U37" i="493"/>
  <c r="R37" i="493"/>
  <c r="O37" i="493"/>
  <c r="L37" i="493"/>
  <c r="I37" i="493"/>
  <c r="F37" i="493"/>
  <c r="C37" i="493"/>
  <c r="V35" i="493" s="1"/>
  <c r="V32" i="493" s="1"/>
  <c r="V20" i="493"/>
  <c r="Z18" i="493"/>
  <c r="Z17" i="493"/>
  <c r="Z16" i="493"/>
  <c r="Z15" i="493"/>
  <c r="Z13" i="493"/>
  <c r="Y13" i="493"/>
  <c r="AP12" i="493"/>
  <c r="AO12" i="493"/>
  <c r="AN12" i="493"/>
  <c r="AM12" i="493"/>
  <c r="AL12" i="493"/>
  <c r="AK12" i="493"/>
  <c r="AJ12" i="493"/>
  <c r="AI12" i="493"/>
  <c r="AH12" i="493"/>
  <c r="Z12" i="493"/>
  <c r="Y12" i="493"/>
  <c r="AP11" i="493"/>
  <c r="AO11" i="493"/>
  <c r="AN11" i="493"/>
  <c r="AM11" i="493"/>
  <c r="AL11" i="493"/>
  <c r="AK11" i="493"/>
  <c r="AJ11" i="493"/>
  <c r="AI11" i="493"/>
  <c r="AH11" i="493"/>
  <c r="Z11" i="493"/>
  <c r="Y11" i="493"/>
  <c r="AP10" i="493"/>
  <c r="AO10" i="493"/>
  <c r="AN10" i="493"/>
  <c r="AM10" i="493"/>
  <c r="AL10" i="493"/>
  <c r="AK10" i="493"/>
  <c r="AJ10" i="493"/>
  <c r="AI10" i="493"/>
  <c r="AH10" i="493"/>
  <c r="Z10" i="493"/>
  <c r="Y10" i="493"/>
  <c r="AP9" i="493"/>
  <c r="AO9" i="493"/>
  <c r="AN9" i="493"/>
  <c r="AM9" i="493"/>
  <c r="AL9" i="493"/>
  <c r="AK9" i="493"/>
  <c r="AJ9" i="493"/>
  <c r="AI9" i="493"/>
  <c r="AH9" i="493"/>
  <c r="Z9" i="493"/>
  <c r="Y9" i="493"/>
  <c r="AP8" i="493"/>
  <c r="AO8" i="493"/>
  <c r="AN8" i="493"/>
  <c r="AM8" i="493"/>
  <c r="AL8" i="493"/>
  <c r="AK8" i="493"/>
  <c r="AJ8" i="493"/>
  <c r="AI8" i="493"/>
  <c r="AH8" i="493"/>
  <c r="Z8" i="493"/>
  <c r="Y8" i="493"/>
  <c r="AP7" i="493"/>
  <c r="AO7" i="493"/>
  <c r="AN7" i="493"/>
  <c r="AM7" i="493"/>
  <c r="AL7" i="493"/>
  <c r="AK7" i="493"/>
  <c r="AJ7" i="493"/>
  <c r="AI7" i="493"/>
  <c r="AH7" i="493"/>
  <c r="Z7" i="493"/>
  <c r="Y7" i="493"/>
  <c r="AP6" i="493"/>
  <c r="AO6" i="493"/>
  <c r="AN6" i="493"/>
  <c r="AM6" i="493"/>
  <c r="AL6" i="493"/>
  <c r="AK6" i="493"/>
  <c r="AJ6" i="493"/>
  <c r="AI6" i="493"/>
  <c r="AH6" i="493"/>
  <c r="Z6" i="493"/>
  <c r="Y6" i="493"/>
  <c r="Z5" i="493"/>
  <c r="Y5" i="493"/>
  <c r="V1" i="493"/>
  <c r="T1" i="493" s="1"/>
  <c r="E1" i="493"/>
  <c r="B7" i="383"/>
  <c r="V26" i="492"/>
  <c r="U37" i="492"/>
  <c r="R37" i="492"/>
  <c r="O37" i="492"/>
  <c r="L37" i="492"/>
  <c r="I37" i="492"/>
  <c r="F37" i="492"/>
  <c r="C37" i="492"/>
  <c r="V35" i="492" s="1"/>
  <c r="V32" i="492" s="1"/>
  <c r="V20" i="492"/>
  <c r="Z18" i="492"/>
  <c r="Z17" i="492"/>
  <c r="Z16" i="492"/>
  <c r="Z15" i="492"/>
  <c r="Z13" i="492"/>
  <c r="Y13" i="492"/>
  <c r="AP12" i="492"/>
  <c r="AO12" i="492"/>
  <c r="AN12" i="492"/>
  <c r="AM12" i="492"/>
  <c r="AL12" i="492"/>
  <c r="AK12" i="492"/>
  <c r="AJ12" i="492"/>
  <c r="AI12" i="492"/>
  <c r="AH12" i="492"/>
  <c r="Z12" i="492"/>
  <c r="Y12" i="492"/>
  <c r="AP11" i="492"/>
  <c r="AO11" i="492"/>
  <c r="AN11" i="492"/>
  <c r="AM11" i="492"/>
  <c r="AL11" i="492"/>
  <c r="AK11" i="492"/>
  <c r="AJ11" i="492"/>
  <c r="AI11" i="492"/>
  <c r="AH11" i="492"/>
  <c r="Z11" i="492"/>
  <c r="Y11" i="492"/>
  <c r="AP10" i="492"/>
  <c r="AO10" i="492"/>
  <c r="AN10" i="492"/>
  <c r="AM10" i="492"/>
  <c r="AL10" i="492"/>
  <c r="AK10" i="492"/>
  <c r="AJ10" i="492"/>
  <c r="AI10" i="492"/>
  <c r="AH10" i="492"/>
  <c r="Z10" i="492"/>
  <c r="Y10" i="492"/>
  <c r="AP9" i="492"/>
  <c r="AO9" i="492"/>
  <c r="AN9" i="492"/>
  <c r="AM9" i="492"/>
  <c r="AL9" i="492"/>
  <c r="AK9" i="492"/>
  <c r="AJ9" i="492"/>
  <c r="AI9" i="492"/>
  <c r="AH9" i="492"/>
  <c r="Z9" i="492"/>
  <c r="Y9" i="492"/>
  <c r="AP8" i="492"/>
  <c r="AO8" i="492"/>
  <c r="AN8" i="492"/>
  <c r="AM8" i="492"/>
  <c r="AL8" i="492"/>
  <c r="AK8" i="492"/>
  <c r="AJ8" i="492"/>
  <c r="AI8" i="492"/>
  <c r="AH8" i="492"/>
  <c r="Z8" i="492"/>
  <c r="Y8" i="492"/>
  <c r="AP7" i="492"/>
  <c r="AO7" i="492"/>
  <c r="AN7" i="492"/>
  <c r="AM7" i="492"/>
  <c r="AL7" i="492"/>
  <c r="AK7" i="492"/>
  <c r="AJ7" i="492"/>
  <c r="AI7" i="492"/>
  <c r="AH7" i="492"/>
  <c r="Z7" i="492"/>
  <c r="Y7" i="492"/>
  <c r="AP6" i="492"/>
  <c r="AO6" i="492"/>
  <c r="AN6" i="492"/>
  <c r="AM6" i="492"/>
  <c r="AL6" i="492"/>
  <c r="AK6" i="492"/>
  <c r="AJ6" i="492"/>
  <c r="AI6" i="492"/>
  <c r="AH6" i="492"/>
  <c r="Z6" i="492"/>
  <c r="Y6" i="492"/>
  <c r="Z5" i="492"/>
  <c r="Y5" i="492"/>
  <c r="V1" i="492"/>
  <c r="T1" i="492"/>
  <c r="R1" i="492"/>
  <c r="A2" i="492" s="1"/>
  <c r="D2" i="492" s="1"/>
  <c r="G2" i="492" s="1"/>
  <c r="J2" i="492" s="1"/>
  <c r="M2" i="492" s="1"/>
  <c r="P2" i="492" s="1"/>
  <c r="S2" i="492" s="1"/>
  <c r="E1" i="492"/>
  <c r="B6" i="383"/>
  <c r="V26" i="491"/>
  <c r="U37" i="491"/>
  <c r="R37" i="491"/>
  <c r="O37" i="491"/>
  <c r="L37" i="491"/>
  <c r="I37" i="491"/>
  <c r="F37" i="491"/>
  <c r="C37" i="491"/>
  <c r="V35" i="491" s="1"/>
  <c r="V32" i="491" s="1"/>
  <c r="V20" i="491"/>
  <c r="Z18" i="491"/>
  <c r="Z17" i="491"/>
  <c r="Z16" i="491"/>
  <c r="Z15" i="491"/>
  <c r="Z13" i="491"/>
  <c r="Y13" i="491"/>
  <c r="AP12" i="491"/>
  <c r="AO12" i="491"/>
  <c r="AN12" i="491"/>
  <c r="AM12" i="491"/>
  <c r="AL12" i="491"/>
  <c r="AK12" i="491"/>
  <c r="AJ12" i="491"/>
  <c r="AI12" i="491"/>
  <c r="AH12" i="491"/>
  <c r="Z12" i="491"/>
  <c r="Y12" i="491"/>
  <c r="AP11" i="491"/>
  <c r="AO11" i="491"/>
  <c r="AN11" i="491"/>
  <c r="AM11" i="491"/>
  <c r="AL11" i="491"/>
  <c r="AK11" i="491"/>
  <c r="AJ11" i="491"/>
  <c r="AI11" i="491"/>
  <c r="AH11" i="491"/>
  <c r="Z11" i="491"/>
  <c r="Y11" i="491"/>
  <c r="AP10" i="491"/>
  <c r="AO10" i="491"/>
  <c r="AN10" i="491"/>
  <c r="AM10" i="491"/>
  <c r="AL10" i="491"/>
  <c r="AK10" i="491"/>
  <c r="AJ10" i="491"/>
  <c r="AI10" i="491"/>
  <c r="AH10" i="491"/>
  <c r="Z10" i="491"/>
  <c r="Y10" i="491"/>
  <c r="AP9" i="491"/>
  <c r="AO9" i="491"/>
  <c r="AN9" i="491"/>
  <c r="AM9" i="491"/>
  <c r="AL9" i="491"/>
  <c r="AK9" i="491"/>
  <c r="AJ9" i="491"/>
  <c r="AI9" i="491"/>
  <c r="AH9" i="491"/>
  <c r="Z9" i="491"/>
  <c r="Y9" i="491"/>
  <c r="AP8" i="491"/>
  <c r="AO8" i="491"/>
  <c r="AN8" i="491"/>
  <c r="AM8" i="491"/>
  <c r="AL8" i="491"/>
  <c r="AK8" i="491"/>
  <c r="AJ8" i="491"/>
  <c r="AI8" i="491"/>
  <c r="AH8" i="491"/>
  <c r="Z8" i="491"/>
  <c r="Y8" i="491"/>
  <c r="AP7" i="491"/>
  <c r="AO7" i="491"/>
  <c r="AN7" i="491"/>
  <c r="AM7" i="491"/>
  <c r="AL7" i="491"/>
  <c r="AK7" i="491"/>
  <c r="AJ7" i="491"/>
  <c r="AI7" i="491"/>
  <c r="AH7" i="491"/>
  <c r="Z7" i="491"/>
  <c r="Y7" i="491"/>
  <c r="AP6" i="491"/>
  <c r="AO6" i="491"/>
  <c r="AN6" i="491"/>
  <c r="AM6" i="491"/>
  <c r="AL6" i="491"/>
  <c r="AK6" i="491"/>
  <c r="AJ6" i="491"/>
  <c r="AI6" i="491"/>
  <c r="AH6" i="491"/>
  <c r="Z6" i="491"/>
  <c r="Y6" i="491"/>
  <c r="Z5" i="491"/>
  <c r="Y5" i="491"/>
  <c r="V1" i="491"/>
  <c r="T1" i="491" s="1"/>
  <c r="E1" i="491"/>
  <c r="B5" i="383"/>
  <c r="V26" i="490"/>
  <c r="U37" i="490"/>
  <c r="R37" i="490"/>
  <c r="O37" i="490"/>
  <c r="L37" i="490"/>
  <c r="I37" i="490"/>
  <c r="F37" i="490"/>
  <c r="C37" i="490"/>
  <c r="V35" i="490"/>
  <c r="V32" i="490" s="1"/>
  <c r="V20" i="490"/>
  <c r="Z18" i="490"/>
  <c r="Z17" i="490"/>
  <c r="Z16" i="490"/>
  <c r="Z15" i="490"/>
  <c r="Z13" i="490"/>
  <c r="Y13" i="490"/>
  <c r="AP12" i="490"/>
  <c r="AO12" i="490"/>
  <c r="AN12" i="490"/>
  <c r="AM12" i="490"/>
  <c r="AL12" i="490"/>
  <c r="AK12" i="490"/>
  <c r="AJ12" i="490"/>
  <c r="AI12" i="490"/>
  <c r="AH12" i="490"/>
  <c r="Z12" i="490"/>
  <c r="Y12" i="490"/>
  <c r="AP11" i="490"/>
  <c r="AO11" i="490"/>
  <c r="AN11" i="490"/>
  <c r="AM11" i="490"/>
  <c r="AL11" i="490"/>
  <c r="AK11" i="490"/>
  <c r="AJ11" i="490"/>
  <c r="AI11" i="490"/>
  <c r="AH11" i="490"/>
  <c r="Z11" i="490"/>
  <c r="Y11" i="490"/>
  <c r="AP10" i="490"/>
  <c r="AO10" i="490"/>
  <c r="AN10" i="490"/>
  <c r="AM10" i="490"/>
  <c r="AL10" i="490"/>
  <c r="AK10" i="490"/>
  <c r="AJ10" i="490"/>
  <c r="AI10" i="490"/>
  <c r="AH10" i="490"/>
  <c r="Z10" i="490"/>
  <c r="Y10" i="490"/>
  <c r="AP9" i="490"/>
  <c r="AO9" i="490"/>
  <c r="AN9" i="490"/>
  <c r="AM9" i="490"/>
  <c r="AL9" i="490"/>
  <c r="AK9" i="490"/>
  <c r="AJ9" i="490"/>
  <c r="AI9" i="490"/>
  <c r="AH9" i="490"/>
  <c r="Z9" i="490"/>
  <c r="Y9" i="490"/>
  <c r="AP8" i="490"/>
  <c r="AO8" i="490"/>
  <c r="AN8" i="490"/>
  <c r="AM8" i="490"/>
  <c r="AL8" i="490"/>
  <c r="AK8" i="490"/>
  <c r="AJ8" i="490"/>
  <c r="AI8" i="490"/>
  <c r="AH8" i="490"/>
  <c r="Z8" i="490"/>
  <c r="Y8" i="490"/>
  <c r="AP7" i="490"/>
  <c r="AO7" i="490"/>
  <c r="AN7" i="490"/>
  <c r="AM7" i="490"/>
  <c r="AL7" i="490"/>
  <c r="AK7" i="490"/>
  <c r="AJ7" i="490"/>
  <c r="AI7" i="490"/>
  <c r="AH7" i="490"/>
  <c r="Z7" i="490"/>
  <c r="Y7" i="490"/>
  <c r="AP6" i="490"/>
  <c r="AO6" i="490"/>
  <c r="AN6" i="490"/>
  <c r="AM6" i="490"/>
  <c r="AL6" i="490"/>
  <c r="AK6" i="490"/>
  <c r="AJ6" i="490"/>
  <c r="AI6" i="490"/>
  <c r="AH6" i="490"/>
  <c r="Z6" i="490"/>
  <c r="Y6" i="490"/>
  <c r="Z5" i="490"/>
  <c r="Y5" i="490"/>
  <c r="V1" i="490"/>
  <c r="T1" i="490"/>
  <c r="R1" i="490"/>
  <c r="A3" i="490" s="1"/>
  <c r="E1" i="490"/>
  <c r="B4" i="383"/>
  <c r="V26" i="489"/>
  <c r="U37" i="489"/>
  <c r="R37" i="489"/>
  <c r="O37" i="489"/>
  <c r="L37" i="489"/>
  <c r="I37" i="489"/>
  <c r="F37" i="489"/>
  <c r="C37" i="489"/>
  <c r="V35" i="489" s="1"/>
  <c r="V32" i="489" s="1"/>
  <c r="V20" i="489"/>
  <c r="Z18" i="489"/>
  <c r="Z17" i="489"/>
  <c r="Z16" i="489"/>
  <c r="Z15" i="489"/>
  <c r="Z13" i="489"/>
  <c r="Y13" i="489"/>
  <c r="AP12" i="489"/>
  <c r="AO12" i="489"/>
  <c r="AN12" i="489"/>
  <c r="AM12" i="489"/>
  <c r="AL12" i="489"/>
  <c r="AK12" i="489"/>
  <c r="AJ12" i="489"/>
  <c r="AI12" i="489"/>
  <c r="AH12" i="489"/>
  <c r="Z12" i="489"/>
  <c r="Y12" i="489"/>
  <c r="AP11" i="489"/>
  <c r="AO11" i="489"/>
  <c r="AN11" i="489"/>
  <c r="AM11" i="489"/>
  <c r="AL11" i="489"/>
  <c r="AK11" i="489"/>
  <c r="AJ11" i="489"/>
  <c r="AI11" i="489"/>
  <c r="AH11" i="489"/>
  <c r="Z11" i="489"/>
  <c r="Y11" i="489"/>
  <c r="AP10" i="489"/>
  <c r="AO10" i="489"/>
  <c r="AN10" i="489"/>
  <c r="AM10" i="489"/>
  <c r="AL10" i="489"/>
  <c r="AK10" i="489"/>
  <c r="AJ10" i="489"/>
  <c r="AI10" i="489"/>
  <c r="AH10" i="489"/>
  <c r="Z10" i="489"/>
  <c r="Y10" i="489"/>
  <c r="AP9" i="489"/>
  <c r="AO9" i="489"/>
  <c r="AN9" i="489"/>
  <c r="AM9" i="489"/>
  <c r="AL9" i="489"/>
  <c r="AK9" i="489"/>
  <c r="AJ9" i="489"/>
  <c r="AI9" i="489"/>
  <c r="AH9" i="489"/>
  <c r="Z9" i="489"/>
  <c r="Y9" i="489"/>
  <c r="AP8" i="489"/>
  <c r="AO8" i="489"/>
  <c r="AN8" i="489"/>
  <c r="AM8" i="489"/>
  <c r="AL8" i="489"/>
  <c r="AK8" i="489"/>
  <c r="AJ8" i="489"/>
  <c r="AI8" i="489"/>
  <c r="AH8" i="489"/>
  <c r="Z8" i="489"/>
  <c r="Y8" i="489"/>
  <c r="AP7" i="489"/>
  <c r="AO7" i="489"/>
  <c r="AN7" i="489"/>
  <c r="AM7" i="489"/>
  <c r="AL7" i="489"/>
  <c r="AK7" i="489"/>
  <c r="AJ7" i="489"/>
  <c r="AI7" i="489"/>
  <c r="AH7" i="489"/>
  <c r="Z7" i="489"/>
  <c r="Y7" i="489"/>
  <c r="AP6" i="489"/>
  <c r="AO6" i="489"/>
  <c r="AN6" i="489"/>
  <c r="AM6" i="489"/>
  <c r="AL6" i="489"/>
  <c r="AK6" i="489"/>
  <c r="AJ6" i="489"/>
  <c r="AI6" i="489"/>
  <c r="AH6" i="489"/>
  <c r="Z6" i="489"/>
  <c r="Y6" i="489"/>
  <c r="Z5" i="489"/>
  <c r="Y5" i="489"/>
  <c r="V1" i="489"/>
  <c r="T1" i="489" s="1"/>
  <c r="E1" i="489"/>
  <c r="B3" i="383"/>
  <c r="V26" i="488"/>
  <c r="U37" i="488"/>
  <c r="R37" i="488"/>
  <c r="O37" i="488"/>
  <c r="L37" i="488"/>
  <c r="I37" i="488"/>
  <c r="F37" i="488"/>
  <c r="C37" i="488"/>
  <c r="V35" i="488"/>
  <c r="V32" i="488" s="1"/>
  <c r="V20" i="488"/>
  <c r="Z18" i="488"/>
  <c r="Z17" i="488"/>
  <c r="Z16" i="488"/>
  <c r="Z15" i="488"/>
  <c r="Z13" i="488"/>
  <c r="Y13" i="488"/>
  <c r="AP12" i="488"/>
  <c r="AO12" i="488"/>
  <c r="AN12" i="488"/>
  <c r="AM12" i="488"/>
  <c r="AL12" i="488"/>
  <c r="AK12" i="488"/>
  <c r="AJ12" i="488"/>
  <c r="AI12" i="488"/>
  <c r="AH12" i="488"/>
  <c r="Z12" i="488"/>
  <c r="Y12" i="488"/>
  <c r="AP11" i="488"/>
  <c r="AO11" i="488"/>
  <c r="AN11" i="488"/>
  <c r="AM11" i="488"/>
  <c r="AL11" i="488"/>
  <c r="AK11" i="488"/>
  <c r="AJ11" i="488"/>
  <c r="AI11" i="488"/>
  <c r="AH11" i="488"/>
  <c r="Z11" i="488"/>
  <c r="Y11" i="488"/>
  <c r="AP10" i="488"/>
  <c r="AO10" i="488"/>
  <c r="AN10" i="488"/>
  <c r="AM10" i="488"/>
  <c r="AL10" i="488"/>
  <c r="AK10" i="488"/>
  <c r="AJ10" i="488"/>
  <c r="AI10" i="488"/>
  <c r="AH10" i="488"/>
  <c r="Z10" i="488"/>
  <c r="Y10" i="488"/>
  <c r="AP9" i="488"/>
  <c r="AO9" i="488"/>
  <c r="AN9" i="488"/>
  <c r="AM9" i="488"/>
  <c r="AL9" i="488"/>
  <c r="AK9" i="488"/>
  <c r="AJ9" i="488"/>
  <c r="AI9" i="488"/>
  <c r="AH9" i="488"/>
  <c r="Z9" i="488"/>
  <c r="Y9" i="488"/>
  <c r="AP8" i="488"/>
  <c r="AO8" i="488"/>
  <c r="AN8" i="488"/>
  <c r="AM8" i="488"/>
  <c r="AL8" i="488"/>
  <c r="AK8" i="488"/>
  <c r="AJ8" i="488"/>
  <c r="AI8" i="488"/>
  <c r="AH8" i="488"/>
  <c r="Z8" i="488"/>
  <c r="Y8" i="488"/>
  <c r="AP7" i="488"/>
  <c r="AO7" i="488"/>
  <c r="AN7" i="488"/>
  <c r="AM7" i="488"/>
  <c r="AL7" i="488"/>
  <c r="AK7" i="488"/>
  <c r="AJ7" i="488"/>
  <c r="AI7" i="488"/>
  <c r="AH7" i="488"/>
  <c r="Z7" i="488"/>
  <c r="Y7" i="488"/>
  <c r="AP6" i="488"/>
  <c r="AO6" i="488"/>
  <c r="AN6" i="488"/>
  <c r="AM6" i="488"/>
  <c r="AL6" i="488"/>
  <c r="AK6" i="488"/>
  <c r="AJ6" i="488"/>
  <c r="AI6" i="488"/>
  <c r="AH6" i="488"/>
  <c r="Z6" i="488"/>
  <c r="Y6" i="488"/>
  <c r="Z5" i="488"/>
  <c r="Y5" i="488"/>
  <c r="V1" i="488"/>
  <c r="T1" i="488"/>
  <c r="R1" i="488"/>
  <c r="A2" i="488" s="1"/>
  <c r="D2" i="488" s="1"/>
  <c r="G2" i="488" s="1"/>
  <c r="J2" i="488" s="1"/>
  <c r="M2" i="488" s="1"/>
  <c r="P2" i="488" s="1"/>
  <c r="S2" i="488" s="1"/>
  <c r="E1" i="488"/>
  <c r="B2" i="383"/>
  <c r="V26" i="487"/>
  <c r="U37" i="487"/>
  <c r="R37" i="487"/>
  <c r="O37" i="487"/>
  <c r="L37" i="487"/>
  <c r="I37" i="487"/>
  <c r="F37" i="487"/>
  <c r="V35" i="487" s="1"/>
  <c r="V32" i="487" s="1"/>
  <c r="C37" i="487"/>
  <c r="V20" i="487"/>
  <c r="Z18" i="487"/>
  <c r="Z17" i="487"/>
  <c r="Z16" i="487"/>
  <c r="Z15" i="487"/>
  <c r="Z13" i="487"/>
  <c r="Y13" i="487"/>
  <c r="AP12" i="487"/>
  <c r="AO12" i="487"/>
  <c r="AN12" i="487"/>
  <c r="AM12" i="487"/>
  <c r="AL12" i="487"/>
  <c r="AK12" i="487"/>
  <c r="AJ12" i="487"/>
  <c r="AI12" i="487"/>
  <c r="AH12" i="487"/>
  <c r="Z12" i="487"/>
  <c r="Y12" i="487"/>
  <c r="AP11" i="487"/>
  <c r="AO11" i="487"/>
  <c r="AN11" i="487"/>
  <c r="AM11" i="487"/>
  <c r="AL11" i="487"/>
  <c r="AK11" i="487"/>
  <c r="AJ11" i="487"/>
  <c r="AI11" i="487"/>
  <c r="AH11" i="487"/>
  <c r="Z11" i="487"/>
  <c r="Y11" i="487"/>
  <c r="AP10" i="487"/>
  <c r="AO10" i="487"/>
  <c r="AN10" i="487"/>
  <c r="AM10" i="487"/>
  <c r="AL10" i="487"/>
  <c r="AK10" i="487"/>
  <c r="AJ10" i="487"/>
  <c r="AI10" i="487"/>
  <c r="AH10" i="487"/>
  <c r="Z10" i="487"/>
  <c r="Y10" i="487"/>
  <c r="AP9" i="487"/>
  <c r="AO9" i="487"/>
  <c r="AN9" i="487"/>
  <c r="AM9" i="487"/>
  <c r="AL9" i="487"/>
  <c r="AK9" i="487"/>
  <c r="AJ9" i="487"/>
  <c r="AI9" i="487"/>
  <c r="AH9" i="487"/>
  <c r="Z9" i="487"/>
  <c r="Y9" i="487"/>
  <c r="AP8" i="487"/>
  <c r="AO8" i="487"/>
  <c r="AN8" i="487"/>
  <c r="AM8" i="487"/>
  <c r="AL8" i="487"/>
  <c r="AK8" i="487"/>
  <c r="AJ8" i="487"/>
  <c r="AI8" i="487"/>
  <c r="AH8" i="487"/>
  <c r="Z8" i="487"/>
  <c r="Y8" i="487"/>
  <c r="AP7" i="487"/>
  <c r="AO7" i="487"/>
  <c r="AN7" i="487"/>
  <c r="AM7" i="487"/>
  <c r="AL7" i="487"/>
  <c r="AK7" i="487"/>
  <c r="AJ7" i="487"/>
  <c r="AI7" i="487"/>
  <c r="AH7" i="487"/>
  <c r="Z7" i="487"/>
  <c r="Y7" i="487"/>
  <c r="AP6" i="487"/>
  <c r="AO6" i="487"/>
  <c r="AN6" i="487"/>
  <c r="AM6" i="487"/>
  <c r="AL6" i="487"/>
  <c r="AK6" i="487"/>
  <c r="AJ6" i="487"/>
  <c r="AI6" i="487"/>
  <c r="AH6" i="487"/>
  <c r="Z6" i="487"/>
  <c r="Y6" i="487"/>
  <c r="Z5" i="487"/>
  <c r="Y5" i="487"/>
  <c r="V1" i="487"/>
  <c r="T1" i="487" s="1"/>
  <c r="E1" i="487"/>
  <c r="N321" i="383"/>
  <c r="AP12" i="223"/>
  <c r="AO12" i="223"/>
  <c r="AN12" i="223"/>
  <c r="AM12" i="223"/>
  <c r="AL12" i="223"/>
  <c r="AK12" i="223"/>
  <c r="AJ12" i="223"/>
  <c r="AI12" i="223"/>
  <c r="AH12" i="223"/>
  <c r="AP11" i="223"/>
  <c r="AO11" i="223"/>
  <c r="AN11" i="223"/>
  <c r="AM11" i="223"/>
  <c r="AL11" i="223"/>
  <c r="AK11" i="223"/>
  <c r="AJ11" i="223"/>
  <c r="AI11" i="223"/>
  <c r="AH11" i="223"/>
  <c r="AP10" i="223"/>
  <c r="AO10" i="223"/>
  <c r="AN10" i="223"/>
  <c r="AM10" i="223"/>
  <c r="AL10" i="223"/>
  <c r="AK10" i="223"/>
  <c r="AJ10" i="223"/>
  <c r="AI10" i="223"/>
  <c r="AH10" i="223"/>
  <c r="AP9" i="223"/>
  <c r="AO9" i="223"/>
  <c r="AN9" i="223"/>
  <c r="AM9" i="223"/>
  <c r="AL9" i="223"/>
  <c r="AK9" i="223"/>
  <c r="AJ9" i="223"/>
  <c r="AI9" i="223"/>
  <c r="AH9" i="223"/>
  <c r="AP8" i="223"/>
  <c r="AO8" i="223"/>
  <c r="AN8" i="223"/>
  <c r="AM8" i="223"/>
  <c r="AL8" i="223"/>
  <c r="AK8" i="223"/>
  <c r="AJ8" i="223"/>
  <c r="AI8" i="223"/>
  <c r="AH8" i="223"/>
  <c r="AP7" i="223"/>
  <c r="AO7" i="223"/>
  <c r="AN7" i="223"/>
  <c r="AM7" i="223"/>
  <c r="AL7" i="223"/>
  <c r="AK7" i="223"/>
  <c r="AJ7" i="223"/>
  <c r="AI7" i="223"/>
  <c r="AH7" i="223"/>
  <c r="AP6" i="223"/>
  <c r="AO6" i="223"/>
  <c r="AN6" i="223"/>
  <c r="AM6" i="223"/>
  <c r="AL6" i="223"/>
  <c r="AK6" i="223"/>
  <c r="AJ6" i="223"/>
  <c r="AI6" i="223"/>
  <c r="AH6" i="223"/>
  <c r="C28" i="125"/>
  <c r="D28" i="125"/>
  <c r="E28" i="125"/>
  <c r="F28" i="125"/>
  <c r="G28" i="125"/>
  <c r="H28" i="125"/>
  <c r="I28" i="125"/>
  <c r="J28" i="125"/>
  <c r="K28" i="125"/>
  <c r="AJ54" i="125"/>
  <c r="AJ53" i="125"/>
  <c r="AJ52" i="125"/>
  <c r="AJ51" i="125"/>
  <c r="AJ50" i="125"/>
  <c r="AJ49" i="125"/>
  <c r="AJ48" i="125"/>
  <c r="AJ47" i="125"/>
  <c r="AJ46" i="125"/>
  <c r="AJ45" i="125"/>
  <c r="AJ44" i="125"/>
  <c r="AJ43" i="125"/>
  <c r="AJ41" i="125"/>
  <c r="AJ40" i="125"/>
  <c r="AJ39" i="125"/>
  <c r="AJ38" i="125"/>
  <c r="AJ37" i="125"/>
  <c r="AJ36" i="125"/>
  <c r="AJ35" i="125"/>
  <c r="AJ34" i="125"/>
  <c r="AJ33" i="125"/>
  <c r="AJ32" i="125"/>
  <c r="AJ31" i="125"/>
  <c r="AJ30" i="125"/>
  <c r="AJ29" i="125"/>
  <c r="AJ28" i="125"/>
  <c r="AJ27" i="125"/>
  <c r="AJ26" i="125"/>
  <c r="AJ25" i="125"/>
  <c r="AJ24" i="125"/>
  <c r="AJ23" i="125"/>
  <c r="AJ22" i="125"/>
  <c r="AJ21" i="125"/>
  <c r="AJ20" i="125"/>
  <c r="AJ19" i="125"/>
  <c r="AJ18" i="125"/>
  <c r="AJ17" i="125"/>
  <c r="AJ16" i="125"/>
  <c r="AJ15" i="125"/>
  <c r="AJ14" i="125"/>
  <c r="AJ13" i="125"/>
  <c r="AJ12" i="125"/>
  <c r="AJ11" i="125"/>
  <c r="AJ10" i="125"/>
  <c r="AJ9" i="125"/>
  <c r="AJ8" i="125"/>
  <c r="AJ7" i="125"/>
  <c r="AJ6" i="125"/>
  <c r="AJ5" i="125"/>
  <c r="AJ4" i="125"/>
  <c r="AJ3" i="125"/>
  <c r="Z18" i="223"/>
  <c r="Z17" i="223"/>
  <c r="Z16" i="223"/>
  <c r="Z15" i="223"/>
  <c r="V1" i="223"/>
  <c r="Y13" i="223"/>
  <c r="Y12" i="223"/>
  <c r="Y11" i="223"/>
  <c r="U37" i="223"/>
  <c r="R37" i="223"/>
  <c r="O37" i="223"/>
  <c r="L37" i="223"/>
  <c r="I37" i="223"/>
  <c r="F37" i="223"/>
  <c r="Z13" i="223"/>
  <c r="Z12" i="223"/>
  <c r="Z11" i="223"/>
  <c r="Z9" i="223"/>
  <c r="Z8" i="223"/>
  <c r="Z7" i="223"/>
  <c r="Z6" i="223"/>
  <c r="Z5" i="223"/>
  <c r="Z10" i="223"/>
  <c r="C37" i="223"/>
  <c r="V26" i="223"/>
  <c r="R1" i="538" l="1"/>
  <c r="A3" i="537"/>
  <c r="A2" i="536"/>
  <c r="D2" i="536" s="1"/>
  <c r="G2" i="536" s="1"/>
  <c r="J2" i="536" s="1"/>
  <c r="M2" i="536" s="1"/>
  <c r="P2" i="536" s="1"/>
  <c r="S2" i="536" s="1"/>
  <c r="A3" i="536"/>
  <c r="R1" i="535"/>
  <c r="R1" i="534"/>
  <c r="A2" i="533"/>
  <c r="D2" i="533" s="1"/>
  <c r="G2" i="533" s="1"/>
  <c r="J2" i="533" s="1"/>
  <c r="M2" i="533" s="1"/>
  <c r="P2" i="533" s="1"/>
  <c r="S2" i="533" s="1"/>
  <c r="A3" i="533"/>
  <c r="A3" i="532"/>
  <c r="R1" i="531"/>
  <c r="AG6" i="530"/>
  <c r="D3" i="530"/>
  <c r="R1" i="529"/>
  <c r="R1" i="528"/>
  <c r="R1" i="527"/>
  <c r="R1" i="526"/>
  <c r="R1" i="525"/>
  <c r="R1" i="524"/>
  <c r="A2" i="523"/>
  <c r="D2" i="523" s="1"/>
  <c r="G2" i="523" s="1"/>
  <c r="J2" i="523" s="1"/>
  <c r="M2" i="523" s="1"/>
  <c r="P2" i="523" s="1"/>
  <c r="S2" i="523" s="1"/>
  <c r="A3" i="523"/>
  <c r="R1" i="522"/>
  <c r="R1" i="521"/>
  <c r="R1" i="520"/>
  <c r="R1" i="519"/>
  <c r="A3" i="518"/>
  <c r="R1" i="517"/>
  <c r="R1" i="516"/>
  <c r="A3" i="515"/>
  <c r="R1" i="514"/>
  <c r="A3" i="513"/>
  <c r="R1" i="512"/>
  <c r="R1" i="511"/>
  <c r="D3" i="510"/>
  <c r="AG6" i="510"/>
  <c r="A3" i="509"/>
  <c r="AG6" i="508"/>
  <c r="D3" i="508"/>
  <c r="A2" i="508"/>
  <c r="D2" i="508" s="1"/>
  <c r="G2" i="508" s="1"/>
  <c r="J2" i="508" s="1"/>
  <c r="M2" i="508" s="1"/>
  <c r="P2" i="508" s="1"/>
  <c r="S2" i="508" s="1"/>
  <c r="R1" i="507"/>
  <c r="R1" i="506"/>
  <c r="R1" i="505"/>
  <c r="R1" i="504"/>
  <c r="R1" i="503"/>
  <c r="A3" i="502"/>
  <c r="A3" i="501"/>
  <c r="R1" i="500"/>
  <c r="AG6" i="499"/>
  <c r="D3" i="499"/>
  <c r="A2" i="499"/>
  <c r="D2" i="499" s="1"/>
  <c r="G2" i="499" s="1"/>
  <c r="J2" i="499" s="1"/>
  <c r="M2" i="499" s="1"/>
  <c r="P2" i="499" s="1"/>
  <c r="S2" i="499" s="1"/>
  <c r="A2" i="498"/>
  <c r="D2" i="498" s="1"/>
  <c r="G2" i="498" s="1"/>
  <c r="J2" i="498" s="1"/>
  <c r="M2" i="498" s="1"/>
  <c r="P2" i="498" s="1"/>
  <c r="S2" i="498" s="1"/>
  <c r="A3" i="498"/>
  <c r="A3" i="497"/>
  <c r="A2" i="496"/>
  <c r="D2" i="496" s="1"/>
  <c r="G2" i="496" s="1"/>
  <c r="J2" i="496" s="1"/>
  <c r="M2" i="496" s="1"/>
  <c r="P2" i="496" s="1"/>
  <c r="S2" i="496" s="1"/>
  <c r="A3" i="496"/>
  <c r="A3" i="495"/>
  <c r="AG6" i="494"/>
  <c r="D3" i="494"/>
  <c r="A2" i="494"/>
  <c r="D2" i="494" s="1"/>
  <c r="G2" i="494" s="1"/>
  <c r="J2" i="494" s="1"/>
  <c r="M2" i="494" s="1"/>
  <c r="P2" i="494" s="1"/>
  <c r="S2" i="494" s="1"/>
  <c r="R1" i="493"/>
  <c r="A3" i="492"/>
  <c r="R1" i="491"/>
  <c r="AG6" i="490"/>
  <c r="D3" i="490"/>
  <c r="A2" i="490"/>
  <c r="D2" i="490" s="1"/>
  <c r="G2" i="490" s="1"/>
  <c r="J2" i="490" s="1"/>
  <c r="M2" i="490" s="1"/>
  <c r="P2" i="490" s="1"/>
  <c r="S2" i="490" s="1"/>
  <c r="R1" i="489"/>
  <c r="A3" i="488"/>
  <c r="R1" i="487"/>
  <c r="L368" i="383"/>
  <c r="G29" i="125"/>
  <c r="H29" i="125"/>
  <c r="J29" i="125"/>
  <c r="K29" i="125"/>
  <c r="I29" i="125"/>
  <c r="D40" i="125"/>
  <c r="C40" i="125"/>
  <c r="E40" i="125"/>
  <c r="F40" i="125"/>
  <c r="G40" i="125"/>
  <c r="I40" i="125"/>
  <c r="H39" i="125"/>
  <c r="J40" i="125"/>
  <c r="H40" i="125"/>
  <c r="K40" i="125"/>
  <c r="I39" i="125"/>
  <c r="G39" i="125"/>
  <c r="J39" i="125"/>
  <c r="K39" i="125"/>
  <c r="J38" i="125"/>
  <c r="C39" i="125"/>
  <c r="D39" i="125"/>
  <c r="E39" i="125"/>
  <c r="F39" i="125"/>
  <c r="K38" i="125"/>
  <c r="I38" i="125"/>
  <c r="H38" i="125"/>
  <c r="C38" i="125"/>
  <c r="D38" i="125"/>
  <c r="E38" i="125"/>
  <c r="F38" i="125"/>
  <c r="G38" i="125"/>
  <c r="K37" i="125"/>
  <c r="C37" i="125"/>
  <c r="D37" i="125"/>
  <c r="H37" i="125"/>
  <c r="F37" i="125"/>
  <c r="I37" i="125"/>
  <c r="G37" i="125"/>
  <c r="E37" i="125"/>
  <c r="J37" i="125"/>
  <c r="D36" i="125"/>
  <c r="E36" i="125"/>
  <c r="F36" i="125"/>
  <c r="G36" i="125"/>
  <c r="C36" i="125"/>
  <c r="H36" i="125"/>
  <c r="I36" i="125"/>
  <c r="J36" i="125"/>
  <c r="K36" i="125"/>
  <c r="I35" i="125"/>
  <c r="K35" i="125"/>
  <c r="H35" i="125"/>
  <c r="J35" i="125"/>
  <c r="G34" i="125"/>
  <c r="C35" i="125"/>
  <c r="D35" i="125"/>
  <c r="E35" i="125"/>
  <c r="F35" i="125"/>
  <c r="G35" i="125"/>
  <c r="J34" i="125"/>
  <c r="H34" i="125"/>
  <c r="K33" i="125"/>
  <c r="I34" i="125"/>
  <c r="K34" i="125"/>
  <c r="C34" i="125"/>
  <c r="D34" i="125"/>
  <c r="E34" i="125"/>
  <c r="F34" i="125"/>
  <c r="C33" i="125"/>
  <c r="D33" i="125"/>
  <c r="E33" i="125"/>
  <c r="F33" i="125"/>
  <c r="G33" i="125"/>
  <c r="H33" i="125"/>
  <c r="I33" i="125"/>
  <c r="J33" i="125"/>
  <c r="C32" i="125"/>
  <c r="F32" i="125"/>
  <c r="D32" i="125"/>
  <c r="G32" i="125"/>
  <c r="E32" i="125"/>
  <c r="H32" i="125"/>
  <c r="I32" i="125"/>
  <c r="J32" i="125"/>
  <c r="K32" i="125"/>
  <c r="I31" i="125"/>
  <c r="G31" i="125"/>
  <c r="H31" i="125"/>
  <c r="F31" i="125"/>
  <c r="J31" i="125"/>
  <c r="K31" i="125"/>
  <c r="C31" i="125"/>
  <c r="D31" i="125"/>
  <c r="E31" i="125"/>
  <c r="K30" i="125"/>
  <c r="C30" i="125"/>
  <c r="D30" i="125"/>
  <c r="E30" i="125"/>
  <c r="F30" i="125"/>
  <c r="G30" i="125"/>
  <c r="H30" i="125"/>
  <c r="I30" i="125"/>
  <c r="J30" i="125"/>
  <c r="E29" i="125"/>
  <c r="D29" i="125"/>
  <c r="C29" i="125"/>
  <c r="F29" i="125"/>
  <c r="W67" i="125"/>
  <c r="W66" i="125" s="1"/>
  <c r="M24" i="125"/>
  <c r="E1" i="223"/>
  <c r="V20" i="223"/>
  <c r="Y10" i="223"/>
  <c r="Y9" i="223"/>
  <c r="Y8" i="223"/>
  <c r="Y7" i="223"/>
  <c r="Y6" i="223"/>
  <c r="Y5" i="223"/>
  <c r="A2" i="538" l="1"/>
  <c r="D2" i="538" s="1"/>
  <c r="G2" i="538" s="1"/>
  <c r="J2" i="538" s="1"/>
  <c r="M2" i="538" s="1"/>
  <c r="P2" i="538" s="1"/>
  <c r="S2" i="538" s="1"/>
  <c r="A3" i="538"/>
  <c r="AG6" i="537"/>
  <c r="D3" i="537"/>
  <c r="AG6" i="536"/>
  <c r="D3" i="536"/>
  <c r="A2" i="535"/>
  <c r="D2" i="535" s="1"/>
  <c r="G2" i="535" s="1"/>
  <c r="J2" i="535" s="1"/>
  <c r="M2" i="535" s="1"/>
  <c r="P2" i="535" s="1"/>
  <c r="S2" i="535" s="1"/>
  <c r="A3" i="535"/>
  <c r="A3" i="534"/>
  <c r="A2" i="534"/>
  <c r="D2" i="534" s="1"/>
  <c r="G2" i="534" s="1"/>
  <c r="J2" i="534" s="1"/>
  <c r="M2" i="534" s="1"/>
  <c r="P2" i="534" s="1"/>
  <c r="S2" i="534" s="1"/>
  <c r="AG6" i="533"/>
  <c r="D3" i="533"/>
  <c r="AG6" i="532"/>
  <c r="D3" i="532"/>
  <c r="A2" i="531"/>
  <c r="D2" i="531" s="1"/>
  <c r="G2" i="531" s="1"/>
  <c r="J2" i="531" s="1"/>
  <c r="M2" i="531" s="1"/>
  <c r="P2" i="531" s="1"/>
  <c r="S2" i="531" s="1"/>
  <c r="A3" i="531"/>
  <c r="G3" i="530"/>
  <c r="AG7" i="530"/>
  <c r="A2" i="529"/>
  <c r="D2" i="529" s="1"/>
  <c r="G2" i="529" s="1"/>
  <c r="J2" i="529" s="1"/>
  <c r="M2" i="529" s="1"/>
  <c r="P2" i="529" s="1"/>
  <c r="S2" i="529" s="1"/>
  <c r="A3" i="529"/>
  <c r="A2" i="528"/>
  <c r="D2" i="528" s="1"/>
  <c r="G2" i="528" s="1"/>
  <c r="J2" i="528" s="1"/>
  <c r="M2" i="528" s="1"/>
  <c r="P2" i="528" s="1"/>
  <c r="S2" i="528" s="1"/>
  <c r="A3" i="528"/>
  <c r="A2" i="527"/>
  <c r="D2" i="527" s="1"/>
  <c r="G2" i="527" s="1"/>
  <c r="J2" i="527" s="1"/>
  <c r="M2" i="527" s="1"/>
  <c r="P2" i="527" s="1"/>
  <c r="S2" i="527" s="1"/>
  <c r="A3" i="527"/>
  <c r="A2" i="526"/>
  <c r="D2" i="526" s="1"/>
  <c r="G2" i="526" s="1"/>
  <c r="J2" i="526" s="1"/>
  <c r="M2" i="526" s="1"/>
  <c r="P2" i="526" s="1"/>
  <c r="S2" i="526" s="1"/>
  <c r="A3" i="526"/>
  <c r="A2" i="525"/>
  <c r="D2" i="525" s="1"/>
  <c r="G2" i="525" s="1"/>
  <c r="J2" i="525" s="1"/>
  <c r="M2" i="525" s="1"/>
  <c r="P2" i="525" s="1"/>
  <c r="S2" i="525" s="1"/>
  <c r="A3" i="525"/>
  <c r="A3" i="524"/>
  <c r="A2" i="524"/>
  <c r="D2" i="524" s="1"/>
  <c r="G2" i="524" s="1"/>
  <c r="J2" i="524" s="1"/>
  <c r="M2" i="524" s="1"/>
  <c r="P2" i="524" s="1"/>
  <c r="S2" i="524" s="1"/>
  <c r="AG6" i="523"/>
  <c r="D3" i="523"/>
  <c r="A3" i="522"/>
  <c r="A2" i="522"/>
  <c r="D2" i="522" s="1"/>
  <c r="G2" i="522" s="1"/>
  <c r="J2" i="522" s="1"/>
  <c r="M2" i="522" s="1"/>
  <c r="P2" i="522" s="1"/>
  <c r="S2" i="522" s="1"/>
  <c r="A2" i="521"/>
  <c r="D2" i="521" s="1"/>
  <c r="G2" i="521" s="1"/>
  <c r="J2" i="521" s="1"/>
  <c r="M2" i="521" s="1"/>
  <c r="P2" i="521" s="1"/>
  <c r="S2" i="521" s="1"/>
  <c r="A3" i="521"/>
  <c r="A2" i="520"/>
  <c r="D2" i="520" s="1"/>
  <c r="G2" i="520" s="1"/>
  <c r="J2" i="520" s="1"/>
  <c r="M2" i="520" s="1"/>
  <c r="P2" i="520" s="1"/>
  <c r="S2" i="520" s="1"/>
  <c r="A3" i="520"/>
  <c r="A2" i="519"/>
  <c r="D2" i="519" s="1"/>
  <c r="G2" i="519" s="1"/>
  <c r="J2" i="519" s="1"/>
  <c r="M2" i="519" s="1"/>
  <c r="P2" i="519" s="1"/>
  <c r="S2" i="519" s="1"/>
  <c r="A3" i="519"/>
  <c r="AG6" i="518"/>
  <c r="D3" i="518"/>
  <c r="A2" i="517"/>
  <c r="D2" i="517" s="1"/>
  <c r="G2" i="517" s="1"/>
  <c r="J2" i="517" s="1"/>
  <c r="M2" i="517" s="1"/>
  <c r="P2" i="517" s="1"/>
  <c r="S2" i="517" s="1"/>
  <c r="A3" i="517"/>
  <c r="A2" i="516"/>
  <c r="D2" i="516" s="1"/>
  <c r="G2" i="516" s="1"/>
  <c r="J2" i="516" s="1"/>
  <c r="M2" i="516" s="1"/>
  <c r="P2" i="516" s="1"/>
  <c r="S2" i="516" s="1"/>
  <c r="A3" i="516"/>
  <c r="AG6" i="515"/>
  <c r="D3" i="515"/>
  <c r="A2" i="514"/>
  <c r="D2" i="514" s="1"/>
  <c r="G2" i="514" s="1"/>
  <c r="J2" i="514" s="1"/>
  <c r="M2" i="514" s="1"/>
  <c r="P2" i="514" s="1"/>
  <c r="S2" i="514" s="1"/>
  <c r="A3" i="514"/>
  <c r="AG6" i="513"/>
  <c r="D3" i="513"/>
  <c r="A2" i="512"/>
  <c r="D2" i="512" s="1"/>
  <c r="G2" i="512" s="1"/>
  <c r="J2" i="512" s="1"/>
  <c r="M2" i="512" s="1"/>
  <c r="P2" i="512" s="1"/>
  <c r="S2" i="512" s="1"/>
  <c r="A3" i="512"/>
  <c r="A2" i="511"/>
  <c r="D2" i="511" s="1"/>
  <c r="G2" i="511" s="1"/>
  <c r="J2" i="511" s="1"/>
  <c r="M2" i="511" s="1"/>
  <c r="P2" i="511" s="1"/>
  <c r="S2" i="511" s="1"/>
  <c r="A3" i="511"/>
  <c r="G3" i="510"/>
  <c r="AG7" i="510"/>
  <c r="D3" i="509"/>
  <c r="AG6" i="509"/>
  <c r="AG7" i="508"/>
  <c r="G3" i="508"/>
  <c r="A2" i="507"/>
  <c r="D2" i="507" s="1"/>
  <c r="G2" i="507" s="1"/>
  <c r="J2" i="507" s="1"/>
  <c r="M2" i="507" s="1"/>
  <c r="P2" i="507" s="1"/>
  <c r="S2" i="507" s="1"/>
  <c r="A3" i="507"/>
  <c r="A2" i="506"/>
  <c r="D2" i="506" s="1"/>
  <c r="G2" i="506" s="1"/>
  <c r="J2" i="506" s="1"/>
  <c r="M2" i="506" s="1"/>
  <c r="P2" i="506" s="1"/>
  <c r="S2" i="506" s="1"/>
  <c r="A3" i="506"/>
  <c r="A2" i="505"/>
  <c r="D2" i="505" s="1"/>
  <c r="G2" i="505" s="1"/>
  <c r="J2" i="505" s="1"/>
  <c r="M2" i="505" s="1"/>
  <c r="P2" i="505" s="1"/>
  <c r="S2" i="505" s="1"/>
  <c r="A3" i="505"/>
  <c r="A3" i="504"/>
  <c r="A2" i="504"/>
  <c r="D2" i="504" s="1"/>
  <c r="G2" i="504" s="1"/>
  <c r="J2" i="504" s="1"/>
  <c r="M2" i="504" s="1"/>
  <c r="P2" i="504" s="1"/>
  <c r="S2" i="504" s="1"/>
  <c r="A2" i="503"/>
  <c r="D2" i="503" s="1"/>
  <c r="G2" i="503" s="1"/>
  <c r="J2" i="503" s="1"/>
  <c r="M2" i="503" s="1"/>
  <c r="P2" i="503" s="1"/>
  <c r="S2" i="503" s="1"/>
  <c r="A3" i="503"/>
  <c r="D3" i="502"/>
  <c r="AG6" i="502"/>
  <c r="AG6" i="501"/>
  <c r="D3" i="501"/>
  <c r="A2" i="500"/>
  <c r="D2" i="500" s="1"/>
  <c r="G2" i="500" s="1"/>
  <c r="J2" i="500" s="1"/>
  <c r="M2" i="500" s="1"/>
  <c r="P2" i="500" s="1"/>
  <c r="S2" i="500" s="1"/>
  <c r="A3" i="500"/>
  <c r="AG7" i="499"/>
  <c r="G3" i="499"/>
  <c r="AG6" i="498"/>
  <c r="D3" i="498"/>
  <c r="AG6" i="497"/>
  <c r="D3" i="497"/>
  <c r="AG6" i="496"/>
  <c r="D3" i="496"/>
  <c r="AG6" i="495"/>
  <c r="D3" i="495"/>
  <c r="G3" i="494"/>
  <c r="AG7" i="494"/>
  <c r="A2" i="493"/>
  <c r="D2" i="493" s="1"/>
  <c r="G2" i="493" s="1"/>
  <c r="J2" i="493" s="1"/>
  <c r="M2" i="493" s="1"/>
  <c r="P2" i="493" s="1"/>
  <c r="S2" i="493" s="1"/>
  <c r="A3" i="493"/>
  <c r="AG6" i="492"/>
  <c r="D3" i="492"/>
  <c r="A2" i="491"/>
  <c r="D2" i="491" s="1"/>
  <c r="G2" i="491" s="1"/>
  <c r="J2" i="491" s="1"/>
  <c r="M2" i="491" s="1"/>
  <c r="P2" i="491" s="1"/>
  <c r="S2" i="491" s="1"/>
  <c r="A3" i="491"/>
  <c r="G3" i="490"/>
  <c r="AG7" i="490"/>
  <c r="A2" i="489"/>
  <c r="D2" i="489" s="1"/>
  <c r="G2" i="489" s="1"/>
  <c r="J2" i="489" s="1"/>
  <c r="M2" i="489" s="1"/>
  <c r="P2" i="489" s="1"/>
  <c r="S2" i="489" s="1"/>
  <c r="A3" i="489"/>
  <c r="D3" i="488"/>
  <c r="AG6" i="488"/>
  <c r="A3" i="487"/>
  <c r="A2" i="487"/>
  <c r="D2" i="487" s="1"/>
  <c r="G2" i="487" s="1"/>
  <c r="J2" i="487" s="1"/>
  <c r="M2" i="487" s="1"/>
  <c r="P2" i="487" s="1"/>
  <c r="S2" i="487" s="1"/>
  <c r="R22" i="125"/>
  <c r="R24" i="125"/>
  <c r="R20" i="125"/>
  <c r="R26" i="125"/>
  <c r="R18" i="125"/>
  <c r="R16" i="125"/>
  <c r="R14" i="125"/>
  <c r="R12" i="125"/>
  <c r="R10" i="125"/>
  <c r="AJ42" i="125"/>
  <c r="T1" i="223"/>
  <c r="R1" i="223"/>
  <c r="A3" i="223" s="1"/>
  <c r="AG6" i="538" l="1"/>
  <c r="D3" i="538"/>
  <c r="AG7" i="537"/>
  <c r="G3" i="537"/>
  <c r="G3" i="536"/>
  <c r="AG7" i="536"/>
  <c r="AG6" i="535"/>
  <c r="D3" i="535"/>
  <c r="AG6" i="534"/>
  <c r="D3" i="534"/>
  <c r="G3" i="533"/>
  <c r="AG7" i="533"/>
  <c r="G3" i="532"/>
  <c r="AG7" i="532"/>
  <c r="AG6" i="531"/>
  <c r="D3" i="531"/>
  <c r="AG8" i="530"/>
  <c r="J3" i="530"/>
  <c r="AG6" i="529"/>
  <c r="D3" i="529"/>
  <c r="AG6" i="528"/>
  <c r="D3" i="528"/>
  <c r="AG6" i="527"/>
  <c r="D3" i="527"/>
  <c r="AG6" i="526"/>
  <c r="D3" i="526"/>
  <c r="AG6" i="525"/>
  <c r="D3" i="525"/>
  <c r="AG6" i="524"/>
  <c r="D3" i="524"/>
  <c r="G3" i="523"/>
  <c r="AG7" i="523"/>
  <c r="AG6" i="522"/>
  <c r="D3" i="522"/>
  <c r="AG6" i="521"/>
  <c r="D3" i="521"/>
  <c r="AG6" i="520"/>
  <c r="D3" i="520"/>
  <c r="AG6" i="519"/>
  <c r="D3" i="519"/>
  <c r="G3" i="518"/>
  <c r="AG7" i="518"/>
  <c r="AG6" i="517"/>
  <c r="D3" i="517"/>
  <c r="AG6" i="516"/>
  <c r="D3" i="516"/>
  <c r="G3" i="515"/>
  <c r="AG7" i="515"/>
  <c r="AG6" i="514"/>
  <c r="D3" i="514"/>
  <c r="AG7" i="513"/>
  <c r="G3" i="513"/>
  <c r="AG6" i="512"/>
  <c r="D3" i="512"/>
  <c r="AG6" i="511"/>
  <c r="D3" i="511"/>
  <c r="AG8" i="510"/>
  <c r="J3" i="510"/>
  <c r="G3" i="509"/>
  <c r="AG7" i="509"/>
  <c r="AG8" i="508"/>
  <c r="J3" i="508"/>
  <c r="AG6" i="507"/>
  <c r="D3" i="507"/>
  <c r="AG6" i="506"/>
  <c r="D3" i="506"/>
  <c r="AG6" i="505"/>
  <c r="D3" i="505"/>
  <c r="AG6" i="504"/>
  <c r="D3" i="504"/>
  <c r="AG6" i="503"/>
  <c r="D3" i="503"/>
  <c r="G3" i="502"/>
  <c r="AG7" i="502"/>
  <c r="G3" i="501"/>
  <c r="AG7" i="501"/>
  <c r="AG6" i="500"/>
  <c r="D3" i="500"/>
  <c r="AG8" i="499"/>
  <c r="J3" i="499"/>
  <c r="G3" i="498"/>
  <c r="AG7" i="498"/>
  <c r="G3" i="497"/>
  <c r="AG7" i="497"/>
  <c r="G3" i="496"/>
  <c r="AG7" i="496"/>
  <c r="AG7" i="495"/>
  <c r="G3" i="495"/>
  <c r="AG8" i="494"/>
  <c r="J3" i="494"/>
  <c r="AG6" i="493"/>
  <c r="D3" i="493"/>
  <c r="G3" i="492"/>
  <c r="AG7" i="492"/>
  <c r="AG6" i="491"/>
  <c r="D3" i="491"/>
  <c r="AG8" i="490"/>
  <c r="J3" i="490"/>
  <c r="D3" i="489"/>
  <c r="AG6" i="489"/>
  <c r="G3" i="488"/>
  <c r="AG7" i="488"/>
  <c r="AG6" i="487"/>
  <c r="D3" i="487"/>
  <c r="D3" i="223"/>
  <c r="AG6" i="223"/>
  <c r="V35" i="223"/>
  <c r="AJ2" i="125" s="1"/>
  <c r="A2" i="223"/>
  <c r="D2" i="223" s="1"/>
  <c r="G2" i="223" s="1"/>
  <c r="J2" i="223" s="1"/>
  <c r="M2" i="223" s="1"/>
  <c r="P2" i="223" s="1"/>
  <c r="S2" i="223" s="1"/>
  <c r="G3" i="538" l="1"/>
  <c r="AG7" i="538"/>
  <c r="AG8" i="537"/>
  <c r="J3" i="537"/>
  <c r="AG8" i="536"/>
  <c r="J3" i="536"/>
  <c r="G3" i="535"/>
  <c r="AG7" i="535"/>
  <c r="G3" i="534"/>
  <c r="AG7" i="534"/>
  <c r="AG8" i="533"/>
  <c r="J3" i="533"/>
  <c r="AG8" i="532"/>
  <c r="J3" i="532"/>
  <c r="G3" i="531"/>
  <c r="AG7" i="531"/>
  <c r="M3" i="530"/>
  <c r="AG9" i="530"/>
  <c r="G3" i="529"/>
  <c r="AG7" i="529"/>
  <c r="G3" i="528"/>
  <c r="AG7" i="528"/>
  <c r="G3" i="527"/>
  <c r="AG7" i="527"/>
  <c r="G3" i="526"/>
  <c r="AG7" i="526"/>
  <c r="G3" i="525"/>
  <c r="AG7" i="525"/>
  <c r="G3" i="524"/>
  <c r="AG7" i="524"/>
  <c r="AG8" i="523"/>
  <c r="J3" i="523"/>
  <c r="G3" i="522"/>
  <c r="AG7" i="522"/>
  <c r="G3" i="521"/>
  <c r="AG7" i="521"/>
  <c r="G3" i="520"/>
  <c r="AG7" i="520"/>
  <c r="G3" i="519"/>
  <c r="AG7" i="519"/>
  <c r="AG8" i="518"/>
  <c r="J3" i="518"/>
  <c r="G3" i="517"/>
  <c r="AG7" i="517"/>
  <c r="G3" i="516"/>
  <c r="AG7" i="516"/>
  <c r="AG8" i="515"/>
  <c r="J3" i="515"/>
  <c r="AG7" i="514"/>
  <c r="G3" i="514"/>
  <c r="AG8" i="513"/>
  <c r="J3" i="513"/>
  <c r="G3" i="512"/>
  <c r="AG7" i="512"/>
  <c r="G3" i="511"/>
  <c r="AG7" i="511"/>
  <c r="M3" i="510"/>
  <c r="AG9" i="510"/>
  <c r="AG8" i="509"/>
  <c r="J3" i="509"/>
  <c r="M3" i="508"/>
  <c r="AG9" i="508"/>
  <c r="G3" i="507"/>
  <c r="AG7" i="507"/>
  <c r="G3" i="506"/>
  <c r="AG7" i="506"/>
  <c r="G3" i="505"/>
  <c r="AG7" i="505"/>
  <c r="G3" i="504"/>
  <c r="AG7" i="504"/>
  <c r="G3" i="503"/>
  <c r="AG7" i="503"/>
  <c r="AG8" i="502"/>
  <c r="J3" i="502"/>
  <c r="AG8" i="501"/>
  <c r="J3" i="501"/>
  <c r="G3" i="500"/>
  <c r="AG7" i="500"/>
  <c r="AG9" i="499"/>
  <c r="M3" i="499"/>
  <c r="AG8" i="498"/>
  <c r="J3" i="498"/>
  <c r="AG8" i="497"/>
  <c r="J3" i="497"/>
  <c r="AG8" i="496"/>
  <c r="J3" i="496"/>
  <c r="AG8" i="495"/>
  <c r="J3" i="495"/>
  <c r="M3" i="494"/>
  <c r="AG9" i="494"/>
  <c r="AG7" i="493"/>
  <c r="G3" i="493"/>
  <c r="J3" i="492"/>
  <c r="AG8" i="492"/>
  <c r="G3" i="491"/>
  <c r="AG7" i="491"/>
  <c r="M3" i="490"/>
  <c r="AG9" i="490"/>
  <c r="G3" i="489"/>
  <c r="AG7" i="489"/>
  <c r="AG8" i="488"/>
  <c r="J3" i="488"/>
  <c r="G3" i="487"/>
  <c r="AG7" i="487"/>
  <c r="G3" i="223"/>
  <c r="AG7" i="223"/>
  <c r="V32" i="223"/>
  <c r="AG8" i="538" l="1"/>
  <c r="J3" i="538"/>
  <c r="M3" i="537"/>
  <c r="AG9" i="537"/>
  <c r="M3" i="536"/>
  <c r="AG9" i="536"/>
  <c r="AG8" i="535"/>
  <c r="J3" i="535"/>
  <c r="AG8" i="534"/>
  <c r="J3" i="534"/>
  <c r="M3" i="533"/>
  <c r="AG9" i="533"/>
  <c r="M3" i="532"/>
  <c r="AG9" i="532"/>
  <c r="AG8" i="531"/>
  <c r="J3" i="531"/>
  <c r="P3" i="530"/>
  <c r="AG10" i="530"/>
  <c r="AG8" i="529"/>
  <c r="J3" i="529"/>
  <c r="AG8" i="528"/>
  <c r="J3" i="528"/>
  <c r="AG8" i="527"/>
  <c r="J3" i="527"/>
  <c r="AG8" i="526"/>
  <c r="J3" i="526"/>
  <c r="AG8" i="525"/>
  <c r="J3" i="525"/>
  <c r="AG8" i="524"/>
  <c r="J3" i="524"/>
  <c r="M3" i="523"/>
  <c r="AG9" i="523"/>
  <c r="AG8" i="522"/>
  <c r="J3" i="522"/>
  <c r="AG8" i="521"/>
  <c r="J3" i="521"/>
  <c r="AG8" i="520"/>
  <c r="J3" i="520"/>
  <c r="AG8" i="519"/>
  <c r="J3" i="519"/>
  <c r="M3" i="518"/>
  <c r="AG9" i="518"/>
  <c r="AG8" i="517"/>
  <c r="J3" i="517"/>
  <c r="AG8" i="516"/>
  <c r="J3" i="516"/>
  <c r="M3" i="515"/>
  <c r="AG9" i="515"/>
  <c r="AG8" i="514"/>
  <c r="J3" i="514"/>
  <c r="AG9" i="513"/>
  <c r="M3" i="513"/>
  <c r="AG8" i="512"/>
  <c r="J3" i="512"/>
  <c r="AG8" i="511"/>
  <c r="J3" i="511"/>
  <c r="P3" i="510"/>
  <c r="AG10" i="510"/>
  <c r="M3" i="509"/>
  <c r="AG9" i="509"/>
  <c r="P3" i="508"/>
  <c r="AG10" i="508"/>
  <c r="AG8" i="507"/>
  <c r="J3" i="507"/>
  <c r="AG8" i="506"/>
  <c r="J3" i="506"/>
  <c r="AG8" i="505"/>
  <c r="J3" i="505"/>
  <c r="AG8" i="504"/>
  <c r="J3" i="504"/>
  <c r="AG8" i="503"/>
  <c r="J3" i="503"/>
  <c r="M3" i="502"/>
  <c r="AG9" i="502"/>
  <c r="M3" i="501"/>
  <c r="AG9" i="501"/>
  <c r="AG8" i="500"/>
  <c r="J3" i="500"/>
  <c r="P3" i="499"/>
  <c r="AG10" i="499"/>
  <c r="M3" i="498"/>
  <c r="AG9" i="498"/>
  <c r="M3" i="497"/>
  <c r="AG9" i="497"/>
  <c r="M3" i="496"/>
  <c r="AG9" i="496"/>
  <c r="AG9" i="495"/>
  <c r="M3" i="495"/>
  <c r="P3" i="494"/>
  <c r="AG10" i="494"/>
  <c r="AG8" i="493"/>
  <c r="J3" i="493"/>
  <c r="M3" i="492"/>
  <c r="AG9" i="492"/>
  <c r="AG8" i="491"/>
  <c r="J3" i="491"/>
  <c r="P3" i="490"/>
  <c r="AG10" i="490"/>
  <c r="AG8" i="489"/>
  <c r="J3" i="489"/>
  <c r="M3" i="488"/>
  <c r="AG9" i="488"/>
  <c r="AG8" i="487"/>
  <c r="J3" i="487"/>
  <c r="J3" i="223"/>
  <c r="AG8" i="223"/>
  <c r="AJ56" i="125"/>
  <c r="AJ55" i="125"/>
  <c r="M3" i="538" l="1"/>
  <c r="AG9" i="538"/>
  <c r="P3" i="537"/>
  <c r="AG10" i="537"/>
  <c r="P3" i="536"/>
  <c r="AG10" i="536"/>
  <c r="M3" i="535"/>
  <c r="AG9" i="535"/>
  <c r="M3" i="534"/>
  <c r="AG9" i="534"/>
  <c r="P3" i="533"/>
  <c r="AG10" i="533"/>
  <c r="P3" i="532"/>
  <c r="AG10" i="532"/>
  <c r="M3" i="531"/>
  <c r="AG9" i="531"/>
  <c r="AG11" i="530"/>
  <c r="S3" i="530"/>
  <c r="AG12" i="530" s="1"/>
  <c r="M3" i="529"/>
  <c r="AG9" i="529"/>
  <c r="M3" i="528"/>
  <c r="AG9" i="528"/>
  <c r="M3" i="527"/>
  <c r="AG9" i="527"/>
  <c r="M3" i="526"/>
  <c r="AG9" i="526"/>
  <c r="M3" i="525"/>
  <c r="AG9" i="525"/>
  <c r="M3" i="524"/>
  <c r="AG9" i="524"/>
  <c r="P3" i="523"/>
  <c r="AG10" i="523"/>
  <c r="M3" i="522"/>
  <c r="AG9" i="522"/>
  <c r="M3" i="521"/>
  <c r="AG9" i="521"/>
  <c r="M3" i="520"/>
  <c r="AG9" i="520"/>
  <c r="M3" i="519"/>
  <c r="AG9" i="519"/>
  <c r="P3" i="518"/>
  <c r="AG10" i="518"/>
  <c r="M3" i="517"/>
  <c r="AG9" i="517"/>
  <c r="M3" i="516"/>
  <c r="AG9" i="516"/>
  <c r="P3" i="515"/>
  <c r="AG10" i="515"/>
  <c r="M3" i="514"/>
  <c r="AG9" i="514"/>
  <c r="P3" i="513"/>
  <c r="AG10" i="513"/>
  <c r="M3" i="512"/>
  <c r="AG9" i="512"/>
  <c r="M3" i="511"/>
  <c r="AG9" i="511"/>
  <c r="AG11" i="510"/>
  <c r="S3" i="510"/>
  <c r="AG12" i="510" s="1"/>
  <c r="P3" i="509"/>
  <c r="AG10" i="509"/>
  <c r="S3" i="508"/>
  <c r="AG12" i="508" s="1"/>
  <c r="AG11" i="508"/>
  <c r="M3" i="507"/>
  <c r="AG9" i="507"/>
  <c r="M3" i="506"/>
  <c r="AG9" i="506"/>
  <c r="M3" i="505"/>
  <c r="AG9" i="505"/>
  <c r="M3" i="504"/>
  <c r="AG9" i="504"/>
  <c r="M3" i="503"/>
  <c r="AG9" i="503"/>
  <c r="P3" i="502"/>
  <c r="AG10" i="502"/>
  <c r="P3" i="501"/>
  <c r="AG10" i="501"/>
  <c r="M3" i="500"/>
  <c r="AG9" i="500"/>
  <c r="AG11" i="499"/>
  <c r="S3" i="499"/>
  <c r="AG12" i="499" s="1"/>
  <c r="P3" i="498"/>
  <c r="AG10" i="498"/>
  <c r="P3" i="497"/>
  <c r="AG10" i="497"/>
  <c r="P3" i="496"/>
  <c r="AG10" i="496"/>
  <c r="P3" i="495"/>
  <c r="AG10" i="495"/>
  <c r="AG11" i="494"/>
  <c r="S3" i="494"/>
  <c r="AG12" i="494" s="1"/>
  <c r="M3" i="493"/>
  <c r="AG9" i="493"/>
  <c r="P3" i="492"/>
  <c r="AG10" i="492"/>
  <c r="M3" i="491"/>
  <c r="AG9" i="491"/>
  <c r="S3" i="490"/>
  <c r="AG12" i="490" s="1"/>
  <c r="AG11" i="490"/>
  <c r="M3" i="489"/>
  <c r="AG9" i="489"/>
  <c r="P3" i="488"/>
  <c r="AG10" i="488"/>
  <c r="M3" i="487"/>
  <c r="AG9" i="487"/>
  <c r="M3" i="223"/>
  <c r="AG9" i="223"/>
  <c r="P3" i="538" l="1"/>
  <c r="AG10" i="538"/>
  <c r="S3" i="537"/>
  <c r="AG12" i="537" s="1"/>
  <c r="AG11" i="537"/>
  <c r="AG11" i="536"/>
  <c r="S3" i="536"/>
  <c r="AG12" i="536" s="1"/>
  <c r="P3" i="535"/>
  <c r="AG10" i="535"/>
  <c r="P3" i="534"/>
  <c r="AG10" i="534"/>
  <c r="AG11" i="533"/>
  <c r="S3" i="533"/>
  <c r="AG12" i="533" s="1"/>
  <c r="AG11" i="532"/>
  <c r="S3" i="532"/>
  <c r="AG12" i="532" s="1"/>
  <c r="P3" i="531"/>
  <c r="AG10" i="531"/>
  <c r="P3" i="529"/>
  <c r="AG10" i="529"/>
  <c r="P3" i="528"/>
  <c r="AG10" i="528"/>
  <c r="P3" i="527"/>
  <c r="AG10" i="527"/>
  <c r="P3" i="526"/>
  <c r="AG10" i="526"/>
  <c r="P3" i="525"/>
  <c r="AG10" i="525"/>
  <c r="P3" i="524"/>
  <c r="AG10" i="524"/>
  <c r="AG11" i="523"/>
  <c r="S3" i="523"/>
  <c r="AG12" i="523" s="1"/>
  <c r="P3" i="522"/>
  <c r="AG10" i="522"/>
  <c r="P3" i="521"/>
  <c r="AG10" i="521"/>
  <c r="P3" i="520"/>
  <c r="AG10" i="520"/>
  <c r="P3" i="519"/>
  <c r="AG10" i="519"/>
  <c r="AG11" i="518"/>
  <c r="S3" i="518"/>
  <c r="AG12" i="518" s="1"/>
  <c r="P3" i="517"/>
  <c r="AG10" i="517"/>
  <c r="P3" i="516"/>
  <c r="AG10" i="516"/>
  <c r="AG11" i="515"/>
  <c r="S3" i="515"/>
  <c r="AG12" i="515" s="1"/>
  <c r="P3" i="514"/>
  <c r="AG10" i="514"/>
  <c r="AG11" i="513"/>
  <c r="S3" i="513"/>
  <c r="AG12" i="513" s="1"/>
  <c r="P3" i="512"/>
  <c r="AG10" i="512"/>
  <c r="P3" i="511"/>
  <c r="AG10" i="511"/>
  <c r="S3" i="509"/>
  <c r="AG12" i="509" s="1"/>
  <c r="AG11" i="509"/>
  <c r="P3" i="507"/>
  <c r="AG10" i="507"/>
  <c r="P3" i="506"/>
  <c r="AG10" i="506"/>
  <c r="P3" i="505"/>
  <c r="AG10" i="505"/>
  <c r="P3" i="504"/>
  <c r="AG10" i="504"/>
  <c r="P3" i="503"/>
  <c r="AG10" i="503"/>
  <c r="AG11" i="502"/>
  <c r="S3" i="502"/>
  <c r="AG12" i="502" s="1"/>
  <c r="AG11" i="501"/>
  <c r="S3" i="501"/>
  <c r="AG12" i="501" s="1"/>
  <c r="P3" i="500"/>
  <c r="AG10" i="500"/>
  <c r="AG11" i="498"/>
  <c r="S3" i="498"/>
  <c r="AG12" i="498" s="1"/>
  <c r="AG11" i="497"/>
  <c r="S3" i="497"/>
  <c r="AG12" i="497" s="1"/>
  <c r="AG11" i="496"/>
  <c r="S3" i="496"/>
  <c r="AG12" i="496" s="1"/>
  <c r="S3" i="495"/>
  <c r="AG12" i="495" s="1"/>
  <c r="AG11" i="495"/>
  <c r="P3" i="493"/>
  <c r="AG10" i="493"/>
  <c r="AG11" i="492"/>
  <c r="S3" i="492"/>
  <c r="AG12" i="492" s="1"/>
  <c r="P3" i="491"/>
  <c r="AG10" i="491"/>
  <c r="P3" i="489"/>
  <c r="AG10" i="489"/>
  <c r="AG11" i="488"/>
  <c r="S3" i="488"/>
  <c r="AG12" i="488" s="1"/>
  <c r="P3" i="487"/>
  <c r="AG10" i="487"/>
  <c r="P3" i="223"/>
  <c r="AG10" i="223"/>
  <c r="AG11" i="538" l="1"/>
  <c r="S3" i="538"/>
  <c r="AG12" i="538" s="1"/>
  <c r="AG11" i="535"/>
  <c r="S3" i="535"/>
  <c r="AG12" i="535" s="1"/>
  <c r="AG11" i="534"/>
  <c r="S3" i="534"/>
  <c r="AG12" i="534" s="1"/>
  <c r="AG11" i="531"/>
  <c r="S3" i="531"/>
  <c r="AG12" i="531" s="1"/>
  <c r="AG11" i="529"/>
  <c r="S3" i="529"/>
  <c r="AG12" i="529" s="1"/>
  <c r="AG11" i="528"/>
  <c r="S3" i="528"/>
  <c r="AG12" i="528" s="1"/>
  <c r="AG11" i="527"/>
  <c r="S3" i="527"/>
  <c r="AG12" i="527" s="1"/>
  <c r="AG11" i="526"/>
  <c r="S3" i="526"/>
  <c r="AG12" i="526" s="1"/>
  <c r="AG11" i="525"/>
  <c r="S3" i="525"/>
  <c r="AG12" i="525" s="1"/>
  <c r="AG11" i="524"/>
  <c r="S3" i="524"/>
  <c r="AG12" i="524" s="1"/>
  <c r="AG11" i="522"/>
  <c r="S3" i="522"/>
  <c r="AG12" i="522" s="1"/>
  <c r="AG11" i="521"/>
  <c r="S3" i="521"/>
  <c r="AG12" i="521" s="1"/>
  <c r="AG11" i="520"/>
  <c r="S3" i="520"/>
  <c r="AG12" i="520" s="1"/>
  <c r="AG11" i="519"/>
  <c r="S3" i="519"/>
  <c r="AG12" i="519" s="1"/>
  <c r="AG11" i="517"/>
  <c r="S3" i="517"/>
  <c r="AG12" i="517" s="1"/>
  <c r="AG11" i="516"/>
  <c r="S3" i="516"/>
  <c r="AG12" i="516" s="1"/>
  <c r="AG11" i="514"/>
  <c r="S3" i="514"/>
  <c r="AG12" i="514" s="1"/>
  <c r="AG11" i="512"/>
  <c r="S3" i="512"/>
  <c r="AG12" i="512" s="1"/>
  <c r="AG11" i="511"/>
  <c r="S3" i="511"/>
  <c r="AG12" i="511" s="1"/>
  <c r="AG11" i="507"/>
  <c r="S3" i="507"/>
  <c r="AG12" i="507" s="1"/>
  <c r="AG11" i="506"/>
  <c r="S3" i="506"/>
  <c r="AG12" i="506" s="1"/>
  <c r="AG11" i="505"/>
  <c r="S3" i="505"/>
  <c r="AG12" i="505" s="1"/>
  <c r="AG11" i="504"/>
  <c r="S3" i="504"/>
  <c r="AG12" i="504" s="1"/>
  <c r="AG11" i="503"/>
  <c r="S3" i="503"/>
  <c r="AG12" i="503" s="1"/>
  <c r="AG11" i="500"/>
  <c r="S3" i="500"/>
  <c r="AG12" i="500" s="1"/>
  <c r="AG11" i="493"/>
  <c r="S3" i="493"/>
  <c r="AG12" i="493" s="1"/>
  <c r="AG11" i="491"/>
  <c r="S3" i="491"/>
  <c r="AG12" i="491" s="1"/>
  <c r="AG11" i="489"/>
  <c r="S3" i="489"/>
  <c r="AG12" i="489" s="1"/>
  <c r="AG11" i="487"/>
  <c r="S3" i="487"/>
  <c r="AG12" i="487" s="1"/>
  <c r="S3" i="223"/>
  <c r="AG12" i="223" s="1"/>
  <c r="AG11" i="223"/>
</calcChain>
</file>

<file path=xl/sharedStrings.xml><?xml version="1.0" encoding="utf-8"?>
<sst xmlns="http://schemas.openxmlformats.org/spreadsheetml/2006/main" count="2794" uniqueCount="482">
  <si>
    <t>ARBEITSBUCH</t>
  </si>
  <si>
    <t>bis</t>
  </si>
  <si>
    <t>SUMME</t>
  </si>
  <si>
    <t>Zeit</t>
  </si>
  <si>
    <t>Beschäftigung</t>
  </si>
  <si>
    <t>Vormonat</t>
  </si>
  <si>
    <t>Wochenstunden</t>
  </si>
  <si>
    <t>Wochen</t>
  </si>
  <si>
    <t>Soll</t>
  </si>
  <si>
    <t>Datum</t>
  </si>
  <si>
    <t>Unterschrift</t>
  </si>
  <si>
    <t>KW 1</t>
  </si>
  <si>
    <t>KW 2</t>
  </si>
  <si>
    <t>KW 3</t>
  </si>
  <si>
    <t>KW 4</t>
  </si>
  <si>
    <t>KW 5</t>
  </si>
  <si>
    <t>KW 6</t>
  </si>
  <si>
    <t>KW 7</t>
  </si>
  <si>
    <t>KW 8</t>
  </si>
  <si>
    <t>KW 9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</si>
  <si>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</si>
  <si>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</si>
  <si>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</si>
  <si>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</si>
  <si>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</si>
  <si>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</si>
  <si>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</si>
  <si>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</si>
  <si>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</si>
  <si>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</si>
  <si>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</si>
  <si>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</si>
  <si>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</si>
  <si>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</si>
  <si>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</si>
  <si>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</si>
  <si>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</si>
  <si>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27</t>
  </si>
  <si>
    <t>KW 28</t>
  </si>
  <si>
    <t>KW 29</t>
  </si>
  <si>
    <t>KW 30</t>
  </si>
  <si>
    <t>KW 31</t>
  </si>
  <si>
    <t>KW 32</t>
  </si>
  <si>
    <t>KW 33</t>
  </si>
  <si>
    <t>KW 34</t>
  </si>
  <si>
    <t>KW 35</t>
  </si>
  <si>
    <t>KW 36</t>
  </si>
  <si>
    <t>KW 37</t>
  </si>
  <si>
    <t>KW 38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</si>
  <si>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</si>
  <si>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</si>
  <si>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</si>
  <si>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</si>
  <si>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</si>
  <si>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</si>
  <si>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</si>
  <si>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</si>
  <si>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</si>
  <si>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</si>
  <si>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</si>
  <si>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KW 50</t>
  </si>
  <si>
    <t>KW 51</t>
  </si>
  <si>
    <t>KW 52</t>
  </si>
  <si>
    <t>Arbeitsbereiche</t>
  </si>
  <si>
    <t>Grundeinstellungen</t>
  </si>
  <si>
    <t>Jahr</t>
  </si>
  <si>
    <t>Name</t>
  </si>
  <si>
    <t>Wochenübersicht</t>
  </si>
  <si>
    <t>Gesamt</t>
  </si>
  <si>
    <t>KW 53</t>
  </si>
  <si>
    <t>Nr</t>
  </si>
  <si>
    <t>Tätigkeit/Abteilung</t>
  </si>
  <si>
    <t>Urlaub</t>
  </si>
  <si>
    <t>Krank</t>
  </si>
  <si>
    <t>U</t>
  </si>
  <si>
    <t>K</t>
  </si>
  <si>
    <t>Std. Gesamt</t>
  </si>
  <si>
    <t>Überschuss Vorjahr</t>
  </si>
  <si>
    <t>Durchschnitt</t>
  </si>
  <si>
    <t>Urlaubstage</t>
  </si>
  <si>
    <t>Genommen</t>
  </si>
  <si>
    <t>Rest</t>
  </si>
  <si>
    <t>Krankheitstage:</t>
  </si>
  <si>
    <t>Hier nix klicken, sonst geht ALLES kaputt!</t>
  </si>
  <si>
    <t>F</t>
  </si>
  <si>
    <t>Feiertag</t>
  </si>
  <si>
    <t>Mai</t>
  </si>
  <si>
    <t>Bitte zuvor das alte Jahr löschen</t>
  </si>
  <si>
    <t>A</t>
  </si>
  <si>
    <t>Ausgleich Überstunden</t>
  </si>
  <si>
    <t>Überstunden</t>
  </si>
  <si>
    <t>Jän</t>
  </si>
  <si>
    <t>Feb</t>
  </si>
  <si>
    <t>Mär</t>
  </si>
  <si>
    <t>Apr</t>
  </si>
  <si>
    <t>Jun</t>
  </si>
  <si>
    <t>Jul</t>
  </si>
  <si>
    <t>Aug</t>
  </si>
  <si>
    <t>Sep</t>
  </si>
  <si>
    <t>Okt</t>
  </si>
  <si>
    <t>Nov</t>
  </si>
  <si>
    <t>Dez</t>
  </si>
  <si>
    <t>kw</t>
  </si>
  <si>
    <t>stunden</t>
  </si>
  <si>
    <t>Projektzeiten</t>
  </si>
  <si>
    <t>Auswertung</t>
  </si>
  <si>
    <t>Thomas Gollenia</t>
  </si>
  <si>
    <t>Kategorie A</t>
  </si>
  <si>
    <t>Kategorie B</t>
  </si>
  <si>
    <t>Kategorie C</t>
  </si>
  <si>
    <t>Kategorie D</t>
  </si>
  <si>
    <t>Kategorie E</t>
  </si>
  <si>
    <t>Kategorie F</t>
  </si>
  <si>
    <t>Kategorie G</t>
  </si>
  <si>
    <t>Kategorie H</t>
  </si>
  <si>
    <t>Kategorie I</t>
  </si>
  <si>
    <t>1.1.2024</t>
  </si>
  <si>
    <t>2.1.2024</t>
  </si>
  <si>
    <t>3.1.2024</t>
  </si>
  <si>
    <t>4.1.2024</t>
  </si>
  <si>
    <t>5.1.2024</t>
  </si>
  <si>
    <t>6.1.2024</t>
  </si>
  <si>
    <t>7.1.2024</t>
  </si>
  <si>
    <t>8.1.2024</t>
  </si>
  <si>
    <t>9.1.2024</t>
  </si>
  <si>
    <t>10.1.2024</t>
  </si>
  <si>
    <t>11.1.2024</t>
  </si>
  <si>
    <t>12.1.2024</t>
  </si>
  <si>
    <t>13.1.2024</t>
  </si>
  <si>
    <t>14.1.2024</t>
  </si>
  <si>
    <t>15.1.2024</t>
  </si>
  <si>
    <t>16.1.2024</t>
  </si>
  <si>
    <t>17.1.2024</t>
  </si>
  <si>
    <t>18.1.2024</t>
  </si>
  <si>
    <t>19.1.2024</t>
  </si>
  <si>
    <t>20.1.2024</t>
  </si>
  <si>
    <t>21.1.2024</t>
  </si>
  <si>
    <t>22.1.2024</t>
  </si>
  <si>
    <t>23.1.2024</t>
  </si>
  <si>
    <t>24.1.2024</t>
  </si>
  <si>
    <t>25.1.2024</t>
  </si>
  <si>
    <t>26.1.2024</t>
  </si>
  <si>
    <t>27.1.2024</t>
  </si>
  <si>
    <t>28.1.2024</t>
  </si>
  <si>
    <t>29.1.2024</t>
  </si>
  <si>
    <t>30.1.2024</t>
  </si>
  <si>
    <t>31.1.2024</t>
  </si>
  <si>
    <t>1.2.2024</t>
  </si>
  <si>
    <t>2.2.2024</t>
  </si>
  <si>
    <t>3.2.2024</t>
  </si>
  <si>
    <t>4.2.2024</t>
  </si>
  <si>
    <t>5.2.2024</t>
  </si>
  <si>
    <t>6.2.2024</t>
  </si>
  <si>
    <t>7.2.2024</t>
  </si>
  <si>
    <t>8.2.2024</t>
  </si>
  <si>
    <t>9.2.2024</t>
  </si>
  <si>
    <t>10.2.2024</t>
  </si>
  <si>
    <t>11.2.2024</t>
  </si>
  <si>
    <t>12.2.2024</t>
  </si>
  <si>
    <t>13.2.2024</t>
  </si>
  <si>
    <t>14.2.2024</t>
  </si>
  <si>
    <t>15.2.2024</t>
  </si>
  <si>
    <t>16.2.2024</t>
  </si>
  <si>
    <t>17.2.2024</t>
  </si>
  <si>
    <t>18.2.2024</t>
  </si>
  <si>
    <t>19.2.2024</t>
  </si>
  <si>
    <t>20.2.2024</t>
  </si>
  <si>
    <t>21.2.2024</t>
  </si>
  <si>
    <t>22.2.2024</t>
  </si>
  <si>
    <t>23.2.2024</t>
  </si>
  <si>
    <t>24.2.2024</t>
  </si>
  <si>
    <t>25.2.2024</t>
  </si>
  <si>
    <t>26.2.2024</t>
  </si>
  <si>
    <t>27.2.2024</t>
  </si>
  <si>
    <t>28.2.2024</t>
  </si>
  <si>
    <t>29.2.2024</t>
  </si>
  <si>
    <t>1.3.2024</t>
  </si>
  <si>
    <t>2.3.2024</t>
  </si>
  <si>
    <t>3.3.2024</t>
  </si>
  <si>
    <t>4.3.2024</t>
  </si>
  <si>
    <t>5.3.2024</t>
  </si>
  <si>
    <t>6.3.2024</t>
  </si>
  <si>
    <t>7.3.2024</t>
  </si>
  <si>
    <t>8.3.2024</t>
  </si>
  <si>
    <t>9.3.2024</t>
  </si>
  <si>
    <t>10.3.2024</t>
  </si>
  <si>
    <t>11.3.2024</t>
  </si>
  <si>
    <t>12.3.2024</t>
  </si>
  <si>
    <t>13.3.2024</t>
  </si>
  <si>
    <t>14.3.2024</t>
  </si>
  <si>
    <t>15.3.2024</t>
  </si>
  <si>
    <t>16.3.2024</t>
  </si>
  <si>
    <t>17.3.2024</t>
  </si>
  <si>
    <t>18.3.2024</t>
  </si>
  <si>
    <t>19.3.2024</t>
  </si>
  <si>
    <t>20.3.2024</t>
  </si>
  <si>
    <t>21.3.2024</t>
  </si>
  <si>
    <t>22.3.2024</t>
  </si>
  <si>
    <t>23.3.2024</t>
  </si>
  <si>
    <t>24.3.2024</t>
  </si>
  <si>
    <t>25.3.2024</t>
  </si>
  <si>
    <t>26.3.2024</t>
  </si>
  <si>
    <t>27.3.2024</t>
  </si>
  <si>
    <t>28.3.2024</t>
  </si>
  <si>
    <t>29.3.2024</t>
  </si>
  <si>
    <t>30.3.2024</t>
  </si>
  <si>
    <t>31.3.2024</t>
  </si>
  <si>
    <t>1.4.2024</t>
  </si>
  <si>
    <t>2.4.2024</t>
  </si>
  <si>
    <t>3.4.2024</t>
  </si>
  <si>
    <t>4.4.2024</t>
  </si>
  <si>
    <t>5.4.2024</t>
  </si>
  <si>
    <t>6.4.2024</t>
  </si>
  <si>
    <t>7.4.2024</t>
  </si>
  <si>
    <t>8.4.2024</t>
  </si>
  <si>
    <t>9.4.2024</t>
  </si>
  <si>
    <t>10.4.2024</t>
  </si>
  <si>
    <t>11.4.2024</t>
  </si>
  <si>
    <t>12.4.2024</t>
  </si>
  <si>
    <t>13.4.2024</t>
  </si>
  <si>
    <t>14.4.2024</t>
  </si>
  <si>
    <t>15.4.2024</t>
  </si>
  <si>
    <t>16.4.2024</t>
  </si>
  <si>
    <t>17.4.2024</t>
  </si>
  <si>
    <t>18.4.2024</t>
  </si>
  <si>
    <t>19.4.2024</t>
  </si>
  <si>
    <t>20.4.2024</t>
  </si>
  <si>
    <t>21.4.2024</t>
  </si>
  <si>
    <t>22.4.2024</t>
  </si>
  <si>
    <t>23.4.2024</t>
  </si>
  <si>
    <t>24.4.2024</t>
  </si>
  <si>
    <t>25.4.2024</t>
  </si>
  <si>
    <t>26.4.2024</t>
  </si>
  <si>
    <t>27.4.2024</t>
  </si>
  <si>
    <t>28.4.2024</t>
  </si>
  <si>
    <t>29.4.2024</t>
  </si>
  <si>
    <t>30.4.2024</t>
  </si>
  <si>
    <t>1.5.2024</t>
  </si>
  <si>
    <t>2.5.2024</t>
  </si>
  <si>
    <t>3.5.2024</t>
  </si>
  <si>
    <t>4.5.2024</t>
  </si>
  <si>
    <t>5.5.2024</t>
  </si>
  <si>
    <t>6.5.2024</t>
  </si>
  <si>
    <t>7.5.2024</t>
  </si>
  <si>
    <t>8.5.2024</t>
  </si>
  <si>
    <t>9.5.2024</t>
  </si>
  <si>
    <t>10.5.2024</t>
  </si>
  <si>
    <t>11.5.2024</t>
  </si>
  <si>
    <t>12.5.2024</t>
  </si>
  <si>
    <t>13.5.2024</t>
  </si>
  <si>
    <t>14.5.2024</t>
  </si>
  <si>
    <t>15.5.2024</t>
  </si>
  <si>
    <t>16.5.2024</t>
  </si>
  <si>
    <t>17.5.2024</t>
  </si>
  <si>
    <t>18.5.2024</t>
  </si>
  <si>
    <t>19.5.2024</t>
  </si>
  <si>
    <t>20.5.2024</t>
  </si>
  <si>
    <t>21.5.2024</t>
  </si>
  <si>
    <t>22.5.2024</t>
  </si>
  <si>
    <t>23.5.2024</t>
  </si>
  <si>
    <t>24.5.2024</t>
  </si>
  <si>
    <t>25.5.2024</t>
  </si>
  <si>
    <t>26.5.2024</t>
  </si>
  <si>
    <t>27.5.2024</t>
  </si>
  <si>
    <t>28.5.2024</t>
  </si>
  <si>
    <t>29.5.2024</t>
  </si>
  <si>
    <t>30.5.2024</t>
  </si>
  <si>
    <t>31.5.2024</t>
  </si>
  <si>
    <t>1.6.2024</t>
  </si>
  <si>
    <t>2.6.2024</t>
  </si>
  <si>
    <t>3.6.2024</t>
  </si>
  <si>
    <t>4.6.2024</t>
  </si>
  <si>
    <t>5.6.2024</t>
  </si>
  <si>
    <t>6.6.2024</t>
  </si>
  <si>
    <t>7.6.2024</t>
  </si>
  <si>
    <t>8.6.2024</t>
  </si>
  <si>
    <t>9.6.2024</t>
  </si>
  <si>
    <t>10.6.2024</t>
  </si>
  <si>
    <t>11.6.2024</t>
  </si>
  <si>
    <t>12.6.2024</t>
  </si>
  <si>
    <t>13.6.2024</t>
  </si>
  <si>
    <t>14.6.2024</t>
  </si>
  <si>
    <t>15.6.2024</t>
  </si>
  <si>
    <t>16.6.2024</t>
  </si>
  <si>
    <t>17.6.2024</t>
  </si>
  <si>
    <t>18.6.2024</t>
  </si>
  <si>
    <t>19.6.2024</t>
  </si>
  <si>
    <t>20.6.2024</t>
  </si>
  <si>
    <t>21.6.2024</t>
  </si>
  <si>
    <t>22.6.2024</t>
  </si>
  <si>
    <t>23.6.2024</t>
  </si>
  <si>
    <t>24.6.2024</t>
  </si>
  <si>
    <t>25.6.2024</t>
  </si>
  <si>
    <t>26.6.2024</t>
  </si>
  <si>
    <t>27.6.2024</t>
  </si>
  <si>
    <t>28.6.2024</t>
  </si>
  <si>
    <t>29.6.2024</t>
  </si>
  <si>
    <t>30.6.2024</t>
  </si>
  <si>
    <t>1.7.2024</t>
  </si>
  <si>
    <t>2.7.2024</t>
  </si>
  <si>
    <t>3.7.2024</t>
  </si>
  <si>
    <t>4.7.2024</t>
  </si>
  <si>
    <t>5.7.2024</t>
  </si>
  <si>
    <t>6.7.2024</t>
  </si>
  <si>
    <t>7.7.2024</t>
  </si>
  <si>
    <t>8.7.2024</t>
  </si>
  <si>
    <t>9.7.2024</t>
  </si>
  <si>
    <t>10.7.2024</t>
  </si>
  <si>
    <t>11.7.2024</t>
  </si>
  <si>
    <t>12.7.2024</t>
  </si>
  <si>
    <t>13.7.2024</t>
  </si>
  <si>
    <t>14.7.2024</t>
  </si>
  <si>
    <t>15.7.2024</t>
  </si>
  <si>
    <t>16.7.2024</t>
  </si>
  <si>
    <t>17.7.2024</t>
  </si>
  <si>
    <t>18.7.2024</t>
  </si>
  <si>
    <t>19.7.2024</t>
  </si>
  <si>
    <t>20.7.2024</t>
  </si>
  <si>
    <t>21.7.2024</t>
  </si>
  <si>
    <t>22.7.2024</t>
  </si>
  <si>
    <t>23.7.2024</t>
  </si>
  <si>
    <t>24.7.2024</t>
  </si>
  <si>
    <t>25.7.2024</t>
  </si>
  <si>
    <t>26.7.2024</t>
  </si>
  <si>
    <t>27.7.2024</t>
  </si>
  <si>
    <t>28.7.2024</t>
  </si>
  <si>
    <t>29.7.2024</t>
  </si>
  <si>
    <t>30.7.2024</t>
  </si>
  <si>
    <t>31.7.2024</t>
  </si>
  <si>
    <t>1.8.2024</t>
  </si>
  <si>
    <t>2.8.2024</t>
  </si>
  <si>
    <t>3.8.2024</t>
  </si>
  <si>
    <t>4.8.2024</t>
  </si>
  <si>
    <t>5.8.2024</t>
  </si>
  <si>
    <t>6.8.2024</t>
  </si>
  <si>
    <t>7.8.2024</t>
  </si>
  <si>
    <t>8.8.2024</t>
  </si>
  <si>
    <t>9.8.2024</t>
  </si>
  <si>
    <t>10.8.2024</t>
  </si>
  <si>
    <t>11.8.2024</t>
  </si>
  <si>
    <t>12.8.2024</t>
  </si>
  <si>
    <t>13.8.2024</t>
  </si>
  <si>
    <t>14.8.2024</t>
  </si>
  <si>
    <t>15.8.2024</t>
  </si>
  <si>
    <t>16.8.2024</t>
  </si>
  <si>
    <t>17.8.2024</t>
  </si>
  <si>
    <t>18.8.2024</t>
  </si>
  <si>
    <t>19.8.2024</t>
  </si>
  <si>
    <t>20.8.2024</t>
  </si>
  <si>
    <t>21.8.2024</t>
  </si>
  <si>
    <t>22.8.2024</t>
  </si>
  <si>
    <t>23.8.2024</t>
  </si>
  <si>
    <t>24.8.2024</t>
  </si>
  <si>
    <t>25.8.2024</t>
  </si>
  <si>
    <t>26.8.2024</t>
  </si>
  <si>
    <t>27.8.2024</t>
  </si>
  <si>
    <t>28.8.2024</t>
  </si>
  <si>
    <t>29.8.2024</t>
  </si>
  <si>
    <t>30.8.2024</t>
  </si>
  <si>
    <t>31.8.2024</t>
  </si>
  <si>
    <t>1.9.2024</t>
  </si>
  <si>
    <t>2.9.2024</t>
  </si>
  <si>
    <t>3.9.2024</t>
  </si>
  <si>
    <t>4.9.2024</t>
  </si>
  <si>
    <t>5.9.2024</t>
  </si>
  <si>
    <t>6.9.2024</t>
  </si>
  <si>
    <t>7.9.2024</t>
  </si>
  <si>
    <t>8.9.2024</t>
  </si>
  <si>
    <t>9.9.2024</t>
  </si>
  <si>
    <t>10.9.2024</t>
  </si>
  <si>
    <t>11.9.2024</t>
  </si>
  <si>
    <t>12.9.2024</t>
  </si>
  <si>
    <t>13.9.2024</t>
  </si>
  <si>
    <t>14.9.2024</t>
  </si>
  <si>
    <t>15.9.2024</t>
  </si>
  <si>
    <t>16.9.2024</t>
  </si>
  <si>
    <t>17.9.2024</t>
  </si>
  <si>
    <t>18.9.2024</t>
  </si>
  <si>
    <t>19.9.2024</t>
  </si>
  <si>
    <t>20.9.2024</t>
  </si>
  <si>
    <t>21.9.2024</t>
  </si>
  <si>
    <t>22.9.2024</t>
  </si>
  <si>
    <t>23.9.2024</t>
  </si>
  <si>
    <t>24.9.2024</t>
  </si>
  <si>
    <t>25.9.2024</t>
  </si>
  <si>
    <t>26.9.2024</t>
  </si>
  <si>
    <t>27.9.2024</t>
  </si>
  <si>
    <t>28.9.2024</t>
  </si>
  <si>
    <t>29.9.2024</t>
  </si>
  <si>
    <t>30.9.2024</t>
  </si>
  <si>
    <t>1.10.2024</t>
  </si>
  <si>
    <t>2.10.2024</t>
  </si>
  <si>
    <t>3.10.2024</t>
  </si>
  <si>
    <t>4.10.2024</t>
  </si>
  <si>
    <t>5.10.2024</t>
  </si>
  <si>
    <t>6.10.2024</t>
  </si>
  <si>
    <t>7.10.2024</t>
  </si>
  <si>
    <t>8.10.2024</t>
  </si>
  <si>
    <t>9.10.2024</t>
  </si>
  <si>
    <t>10.10.2024</t>
  </si>
  <si>
    <t>11.10.2024</t>
  </si>
  <si>
    <t>12.10.2024</t>
  </si>
  <si>
    <t>13.10.2024</t>
  </si>
  <si>
    <t>14.10.2024</t>
  </si>
  <si>
    <t>15.10.2024</t>
  </si>
  <si>
    <t>16.10.2024</t>
  </si>
  <si>
    <t>17.10.2024</t>
  </si>
  <si>
    <t>18.10.2024</t>
  </si>
  <si>
    <t>19.10.2024</t>
  </si>
  <si>
    <t>20.10.2024</t>
  </si>
  <si>
    <t>21.10.2024</t>
  </si>
  <si>
    <t>22.10.2024</t>
  </si>
  <si>
    <t>23.10.2024</t>
  </si>
  <si>
    <t>24.10.2024</t>
  </si>
  <si>
    <t>25.10.2024</t>
  </si>
  <si>
    <t>26.10.2024</t>
  </si>
  <si>
    <t>27.10.2024</t>
  </si>
  <si>
    <t>28.10.2024</t>
  </si>
  <si>
    <t>29.10.2024</t>
  </si>
  <si>
    <t>30.10.2024</t>
  </si>
  <si>
    <t>31.10.2024</t>
  </si>
  <si>
    <t>1.11.2024</t>
  </si>
  <si>
    <t>2.11.2024</t>
  </si>
  <si>
    <t>3.11.2024</t>
  </si>
  <si>
    <t>4.11.2024</t>
  </si>
  <si>
    <t>5.11.2024</t>
  </si>
  <si>
    <t>6.11.2024</t>
  </si>
  <si>
    <t>7.11.2024</t>
  </si>
  <si>
    <t>8.11.2024</t>
  </si>
  <si>
    <t>9.11.2024</t>
  </si>
  <si>
    <t>10.11.2024</t>
  </si>
  <si>
    <t>11.11.2024</t>
  </si>
  <si>
    <t>12.11.2024</t>
  </si>
  <si>
    <t>13.11.2024</t>
  </si>
  <si>
    <t>14.11.2024</t>
  </si>
  <si>
    <t>15.11.2024</t>
  </si>
  <si>
    <t>16.11.2024</t>
  </si>
  <si>
    <t>17.11.2024</t>
  </si>
  <si>
    <t>18.11.2024</t>
  </si>
  <si>
    <t>19.11.2024</t>
  </si>
  <si>
    <t>20.11.2024</t>
  </si>
  <si>
    <t>21.11.2024</t>
  </si>
  <si>
    <t>22.11.2024</t>
  </si>
  <si>
    <t>23.11.2024</t>
  </si>
  <si>
    <t>24.11.2024</t>
  </si>
  <si>
    <t>25.11.2024</t>
  </si>
  <si>
    <t>26.11.2024</t>
  </si>
  <si>
    <t>27.11.2024</t>
  </si>
  <si>
    <t>28.11.2024</t>
  </si>
  <si>
    <t>29.11.2024</t>
  </si>
  <si>
    <t>30.11.2024</t>
  </si>
  <si>
    <t>1.12.2024</t>
  </si>
  <si>
    <t>2.12.2024</t>
  </si>
  <si>
    <t>3.12.2024</t>
  </si>
  <si>
    <t>4.12.2024</t>
  </si>
  <si>
    <t>5.12.2024</t>
  </si>
  <si>
    <t>6.12.2024</t>
  </si>
  <si>
    <t>7.12.2024</t>
  </si>
  <si>
    <t>8.12.2024</t>
  </si>
  <si>
    <t>9.12.2024</t>
  </si>
  <si>
    <t>10.12.2024</t>
  </si>
  <si>
    <t>11.12.2024</t>
  </si>
  <si>
    <t>12.12.2024</t>
  </si>
  <si>
    <t>13.12.2024</t>
  </si>
  <si>
    <t>14.12.2024</t>
  </si>
  <si>
    <t>15.12.2024</t>
  </si>
  <si>
    <t>16.12.2024</t>
  </si>
  <si>
    <t>17.12.2024</t>
  </si>
  <si>
    <t>18.12.2024</t>
  </si>
  <si>
    <t>19.12.2024</t>
  </si>
  <si>
    <t>20.12.2024</t>
  </si>
  <si>
    <t>21.12.2024</t>
  </si>
  <si>
    <t>22.12.2024</t>
  </si>
  <si>
    <t>23.12.2024</t>
  </si>
  <si>
    <t>24.12.2024</t>
  </si>
  <si>
    <t>25.12.2024</t>
  </si>
  <si>
    <t>26.12.2024</t>
  </si>
  <si>
    <t>27.12.2024</t>
  </si>
  <si>
    <t>28.12.2024</t>
  </si>
  <si>
    <t>29.12.2024</t>
  </si>
  <si>
    <t>30.12.2024</t>
  </si>
  <si>
    <t>31.12.2024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</si>
</sst>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\K\W\ ##"/>
    <numFmt numFmtId="166" formatCode="dddd"/>
    <numFmt numFmtId="167" formatCode="0.0"/>
    <numFmt numFmtId="168" formatCode="[$-407]d/\ mmm/;@"/>
    <numFmt numFmtId="169" formatCode="[$-C07]d\.mmmm\ yyyy;@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Exo 2"/>
    </font>
    <font>
      <sz val="24"/>
      <color theme="1"/>
      <name val="Exo 2"/>
    </font>
    <font>
      <sz val="11"/>
      <color theme="1"/>
      <name val="Exo 2"/>
    </font>
    <font>
      <sz val="10"/>
      <color theme="1"/>
      <name val="Exo 2"/>
    </font>
    <font>
      <sz val="9"/>
      <color theme="1"/>
      <name val="Cascadia Code"/>
      <family val="3"/>
    </font>
    <font>
      <b/>
      <sz val="12"/>
      <color theme="1"/>
      <name val="Cascadia Code"/>
      <family val="3"/>
    </font>
    <font>
      <sz val="12"/>
      <color theme="1"/>
      <name val="Cascadia Code"/>
      <family val="3"/>
    </font>
    <font>
      <b/>
      <sz val="11"/>
      <color theme="1"/>
      <name val="Cascadia Code"/>
      <family val="3"/>
    </font>
    <font>
      <b/>
      <sz val="10"/>
      <color theme="1"/>
      <name val="Cascadia Code"/>
      <family val="3"/>
    </font>
    <font>
      <b/>
      <sz val="9"/>
      <color theme="1"/>
      <name val="Cascadia Code"/>
      <family val="3"/>
    </font>
    <font>
      <sz val="8"/>
      <color theme="1"/>
      <name val="Cascadia Code"/>
      <family val="3"/>
    </font>
    <font>
      <b/>
      <sz val="14"/>
      <color theme="1"/>
      <name val="Cascadia Code"/>
      <family val="3"/>
    </font>
    <font>
      <b/>
      <sz val="28"/>
      <color theme="1"/>
      <name val="Cascadia Code"/>
      <family val="3"/>
    </font>
    <font>
      <b/>
      <sz val="22"/>
      <color theme="1"/>
      <name val="Cascadia Code"/>
      <family val="3"/>
    </font>
    <font>
      <b/>
      <sz val="9"/>
      <color rgb="FF92D050"/>
      <name val="Cascadia Code"/>
      <family val="3"/>
    </font>
    <font>
      <b/>
      <sz val="9"/>
      <color theme="0"/>
      <name val="Cascadia Code"/>
      <family val="3"/>
    </font>
    <font>
      <sz val="11"/>
      <color theme="1"/>
      <name val="Cascadia Code"/>
      <family val="3"/>
    </font>
    <font>
      <sz val="9"/>
      <name val="Cascadia Code"/>
      <family val="3"/>
    </font>
    <font>
      <b/>
      <sz val="9"/>
      <color rgb="FFFFC000"/>
      <name val="Cascadia Code"/>
      <family val="3"/>
    </font>
    <font>
      <b/>
      <sz val="18"/>
      <color theme="0"/>
      <name val="Cascadia Code"/>
      <family val="3"/>
    </font>
    <font>
      <b/>
      <sz val="11"/>
      <color theme="0"/>
      <name val="Cascadia Code"/>
      <family val="3"/>
    </font>
    <font>
      <b/>
      <sz val="11"/>
      <name val="Cascadia Code"/>
      <family val="3"/>
    </font>
    <font>
      <sz val="11"/>
      <color theme="0"/>
      <name val="Cascadia Code"/>
      <family val="3"/>
    </font>
    <font>
      <b/>
      <sz val="12"/>
      <color rgb="FFFFC000"/>
      <name val="Cascadia Code"/>
      <family val="3"/>
    </font>
    <font>
      <sz val="11"/>
      <name val="Exo 2"/>
    </font>
    <font>
      <sz val="9"/>
      <color theme="1" tint="0.14999847407452621"/>
      <name val="Cascadia Code"/>
      <family val="3"/>
    </font>
    <font>
      <b/>
      <sz val="12"/>
      <color theme="1" tint="0.14999847407452621"/>
      <name val="Cascadia Code"/>
      <family val="3"/>
    </font>
    <font>
      <sz val="24"/>
      <color theme="1" tint="0.14999847407452621"/>
      <name val="Cascadia Code"/>
      <family val="3"/>
    </font>
    <font>
      <sz val="18"/>
      <color theme="1" tint="0.14999847407452621"/>
      <name val="Cascadia Code"/>
      <family val="3"/>
    </font>
    <font>
      <sz val="12"/>
      <color theme="1" tint="0.14999847407452621"/>
      <name val="Cascadia Code"/>
      <family val="3"/>
    </font>
    <font>
      <b/>
      <sz val="11"/>
      <color theme="1" tint="0.14999847407452621"/>
      <name val="Cascadia Code"/>
      <family val="3"/>
    </font>
    <font>
      <b/>
      <sz val="9"/>
      <color theme="1" tint="0.14999847407452621"/>
      <name val="Cascadia Code"/>
      <family val="3"/>
    </font>
    <font>
      <b/>
      <sz val="10"/>
      <color theme="1" tint="0.14999847407452621"/>
      <name val="Cascadia Code"/>
      <family val="3"/>
    </font>
    <font>
      <b/>
      <sz val="11"/>
      <color theme="1"/>
      <name val="Exo 2"/>
    </font>
    <font>
      <b/>
      <sz val="9"/>
      <color rgb="FFE9EBEF"/>
      <name val="Exo 2"/>
    </font>
    <font>
      <sz val="9"/>
      <color rgb="FFE9EBEF"/>
      <name val="Cascadia Code"/>
      <family val="3"/>
    </font>
    <font>
      <b/>
      <sz val="9"/>
      <color theme="8" tint="0.59999389629810485"/>
      <name val="Cascadia Code"/>
      <family val="3"/>
    </font>
    <font>
      <b/>
      <sz val="9"/>
      <color theme="7" tint="0.39997558519241921"/>
      <name val="Cascadia Code"/>
      <family val="3"/>
    </font>
    <font>
      <sz val="9"/>
      <color theme="5" tint="0.59999389629810485"/>
      <name val="Cascadia Code"/>
      <family val="3"/>
    </font>
    <font>
      <b/>
      <sz val="9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1" tint="0.14999847407452621"/>
      <name val="Cascadia Code"/>
      <family val="3"/>
    </font>
    <font>
      <b/>
      <sz val="16"/>
      <color theme="1"/>
      <name val="Cascadia Code"/>
      <family val="3"/>
    </font>
    <font>
      <b/>
      <sz val="9"/>
      <color rgb="FFFF0000"/>
      <name val="Cascadia Code"/>
      <family val="3"/>
    </font>
    <font>
      <b/>
      <sz val="9"/>
      <color rgb="FF7030A0"/>
      <name val="Cascadia Code"/>
      <family val="3"/>
    </font>
    <font>
      <sz val="11"/>
      <color rgb="FF7030A0"/>
      <name val="Calibri"/>
      <family val="2"/>
      <scheme val="minor"/>
    </font>
    <font>
      <b/>
      <sz val="9"/>
      <color rgb="FF3F51B5"/>
      <name val="Cascadia Code"/>
      <family val="3"/>
    </font>
    <font>
      <sz val="11"/>
      <color rgb="FF3F51B5"/>
      <name val="Calibri"/>
      <family val="2"/>
      <scheme val="minor"/>
    </font>
    <font>
      <b/>
      <sz val="9"/>
      <color rgb="FF00B0F0"/>
      <name val="Cascadia Code"/>
      <family val="3"/>
    </font>
    <font>
      <sz val="11"/>
      <color rgb="FF00B0F0"/>
      <name val="Calibri"/>
      <family val="2"/>
      <scheme val="minor"/>
    </font>
    <font>
      <b/>
      <sz val="9"/>
      <color rgb="FF009688"/>
      <name val="Cascadia Code"/>
      <family val="3"/>
    </font>
    <font>
      <sz val="11"/>
      <color rgb="FF009688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795548"/>
      <name val="Cascadia Code"/>
      <family val="3"/>
    </font>
    <font>
      <sz val="11"/>
      <color rgb="FF795548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95548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8BC34A"/>
        <bgColor indexed="64"/>
      </patternFill>
    </fill>
    <fill>
      <patternFill patternType="solid">
        <fgColor rgb="FFF1F8E9"/>
        <bgColor indexed="64"/>
      </patternFill>
    </fill>
    <fill>
      <patternFill patternType="solid">
        <fgColor rgb="FF03A9F4"/>
        <bgColor indexed="64"/>
      </patternFill>
    </fill>
    <fill>
      <patternFill patternType="solid">
        <fgColor rgb="FFE1F5FE"/>
        <bgColor indexed="64"/>
      </patternFill>
    </fill>
    <fill>
      <patternFill patternType="solid">
        <fgColor rgb="FFF44336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9C27B0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3F51B5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E0F2F1"/>
        <bgColor indexed="64"/>
      </patternFill>
    </fill>
    <fill>
      <patternFill patternType="solid">
        <fgColor rgb="FFFDD835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FEBE9"/>
        <bgColor indexed="64"/>
      </patternFill>
    </fill>
    <fill>
      <patternFill patternType="solid">
        <fgColor rgb="FFFB8C00"/>
        <bgColor indexed="64"/>
      </patternFill>
    </fill>
    <fill>
      <patternFill patternType="solid">
        <fgColor rgb="FFE9EBEF"/>
        <bgColor indexed="64"/>
      </patternFill>
    </fill>
    <fill>
      <patternFill patternType="solid">
        <fgColor rgb="FFD5D9DC"/>
        <bgColor indexed="64"/>
      </patternFill>
    </fill>
    <fill>
      <patternFill patternType="solid">
        <fgColor rgb="FFE9EBEF"/>
        <bgColor theme="1" tint="0.14996795556505021"/>
      </patternFill>
    </fill>
    <fill>
      <patternFill patternType="solid">
        <fgColor rgb="FFE9EBEF"/>
        <bgColor rgb="FFE0E0E0"/>
      </patternFill>
    </fill>
    <fill>
      <patternFill patternType="darkUp">
        <fgColor theme="9" tint="0.59996337778862885"/>
        <bgColor theme="9" tint="0.79995117038483843"/>
      </patternFill>
    </fill>
    <fill>
      <patternFill patternType="darkUp">
        <fgColor theme="7" tint="0.59996337778862885"/>
        <bgColor theme="7" tint="0.79998168889431442"/>
      </patternFill>
    </fill>
    <fill>
      <patternFill patternType="darkUp">
        <fgColor theme="4" tint="0.59996337778862885"/>
        <bgColor theme="4" tint="0.79998168889431442"/>
      </patternFill>
    </fill>
    <fill>
      <patternFill patternType="darkUp">
        <fgColor theme="5" tint="0.79998168889431442"/>
        <bgColor theme="5" tint="0.59996337778862885"/>
      </patternFill>
    </fill>
    <fill>
      <patternFill patternType="solid">
        <fgColor theme="9" tint="-0.499984740745262"/>
        <bgColor theme="9" tint="-0.24994659260841701"/>
      </patternFill>
    </fill>
    <fill>
      <patternFill patternType="solid">
        <fgColor theme="7" tint="-0.499984740745262"/>
        <bgColor theme="7" tint="-0.24994659260841701"/>
      </patternFill>
    </fill>
    <fill>
      <patternFill patternType="solid">
        <fgColor theme="4" tint="-0.24994659260841701"/>
        <bgColor theme="4" tint="-0.24994659260841701"/>
      </patternFill>
    </fill>
    <fill>
      <patternFill patternType="solid">
        <fgColor theme="5" tint="-0.24994659260841701"/>
        <bgColor theme="5" tint="0.39991454817346722"/>
      </patternFill>
    </fill>
    <fill>
      <patternFill patternType="solid">
        <fgColor rgb="FFD1D5D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DBDF"/>
        <bgColor indexed="64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auto="1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0">
    <xf numFmtId="0" fontId="0" fillId="0" borderId="0" xfId="0"/>
    <xf numFmtId="0" fontId="4" fillId="0" borderId="0" xfId="0" applyFont="1"/>
    <xf numFmtId="0" fontId="3" fillId="0" borderId="0" xfId="0" applyFont="1"/>
    <xf numFmtId="0" fontId="2" fillId="0" borderId="16" xfId="0" applyFont="1" applyBorder="1"/>
    <xf numFmtId="0" fontId="4" fillId="0" borderId="16" xfId="0" applyFont="1" applyBorder="1"/>
    <xf numFmtId="0" fontId="6" fillId="0" borderId="1" xfId="0" applyFont="1" applyBorder="1" applyAlignment="1">
      <alignment horizontal="left" vertical="center"/>
    </xf>
    <xf numFmtId="0" fontId="6" fillId="10" borderId="0" xfId="0" applyFont="1" applyFill="1" applyAlignment="1">
      <alignment vertical="center"/>
    </xf>
    <xf numFmtId="0" fontId="19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4" borderId="0" xfId="0" applyFont="1" applyFill="1" applyAlignment="1">
      <alignment vertical="center"/>
    </xf>
    <xf numFmtId="0" fontId="19" fillId="16" borderId="0" xfId="0" applyFont="1" applyFill="1" applyAlignment="1">
      <alignment vertical="center"/>
    </xf>
    <xf numFmtId="0" fontId="6" fillId="16" borderId="0" xfId="0" applyFont="1" applyFill="1" applyAlignment="1">
      <alignment vertical="center"/>
    </xf>
    <xf numFmtId="0" fontId="19" fillId="18" borderId="0" xfId="0" applyFont="1" applyFill="1" applyAlignment="1">
      <alignment vertical="center"/>
    </xf>
    <xf numFmtId="0" fontId="6" fillId="18" borderId="0" xfId="0" applyFont="1" applyFill="1" applyAlignment="1">
      <alignment vertical="center"/>
    </xf>
    <xf numFmtId="0" fontId="19" fillId="14" borderId="0" xfId="0" applyFont="1" applyFill="1" applyAlignment="1">
      <alignment horizontal="left" vertical="center"/>
    </xf>
    <xf numFmtId="0" fontId="19" fillId="20" borderId="0" xfId="0" applyFont="1" applyFill="1" applyAlignment="1">
      <alignment vertical="center"/>
    </xf>
    <xf numFmtId="0" fontId="6" fillId="20" borderId="0" xfId="0" applyFont="1" applyFill="1" applyAlignment="1">
      <alignment vertical="center"/>
    </xf>
    <xf numFmtId="0" fontId="19" fillId="10" borderId="0" xfId="0" applyFont="1" applyFill="1" applyAlignment="1">
      <alignment vertical="center"/>
    </xf>
    <xf numFmtId="0" fontId="19" fillId="22" borderId="0" xfId="0" applyFont="1" applyFill="1" applyAlignment="1">
      <alignment vertical="center"/>
    </xf>
    <xf numFmtId="0" fontId="17" fillId="13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6" fillId="22" borderId="0" xfId="0" applyFont="1" applyFill="1"/>
    <xf numFmtId="0" fontId="17" fillId="19" borderId="0" xfId="0" applyFont="1" applyFill="1" applyAlignment="1">
      <alignment horizontal="center" vertical="center"/>
    </xf>
    <xf numFmtId="0" fontId="6" fillId="23" borderId="0" xfId="0" applyFont="1" applyFill="1"/>
    <xf numFmtId="0" fontId="17" fillId="7" borderId="0" xfId="0" applyFont="1" applyFill="1" applyAlignment="1">
      <alignment horizontal="center" vertical="center"/>
    </xf>
    <xf numFmtId="0" fontId="6" fillId="24" borderId="0" xfId="0" applyFont="1" applyFill="1"/>
    <xf numFmtId="0" fontId="18" fillId="2" borderId="0" xfId="0" applyFont="1" applyFill="1"/>
    <xf numFmtId="0" fontId="18" fillId="0" borderId="0" xfId="0" applyFont="1"/>
    <xf numFmtId="0" fontId="18" fillId="3" borderId="0" xfId="0" applyFont="1" applyFill="1"/>
    <xf numFmtId="0" fontId="18" fillId="6" borderId="0" xfId="0" applyFont="1" applyFill="1"/>
    <xf numFmtId="0" fontId="21" fillId="2" borderId="0" xfId="0" applyFont="1" applyFill="1"/>
    <xf numFmtId="0" fontId="21" fillId="6" borderId="0" xfId="0" applyFont="1" applyFill="1"/>
    <xf numFmtId="2" fontId="18" fillId="6" borderId="0" xfId="0" applyNumberFormat="1" applyFont="1" applyFill="1"/>
    <xf numFmtId="0" fontId="18" fillId="5" borderId="0" xfId="0" applyFont="1" applyFill="1"/>
    <xf numFmtId="0" fontId="22" fillId="6" borderId="0" xfId="0" applyFont="1" applyFill="1"/>
    <xf numFmtId="0" fontId="22" fillId="13" borderId="0" xfId="0" applyFont="1" applyFill="1" applyAlignment="1">
      <alignment horizontal="center" vertical="center"/>
    </xf>
    <xf numFmtId="0" fontId="19" fillId="4" borderId="17" xfId="0" applyFont="1" applyFill="1" applyBorder="1" applyAlignment="1">
      <alignment horizontal="left" vertical="center"/>
    </xf>
    <xf numFmtId="0" fontId="22" fillId="15" borderId="0" xfId="0" applyFont="1" applyFill="1" applyAlignment="1">
      <alignment horizontal="center" vertical="center"/>
    </xf>
    <xf numFmtId="0" fontId="19" fillId="4" borderId="17" xfId="0" applyFont="1" applyFill="1" applyBorder="1" applyAlignment="1">
      <alignment vertical="center"/>
    </xf>
    <xf numFmtId="0" fontId="22" fillId="17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21" borderId="0" xfId="0" applyFont="1" applyFill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18" fillId="4" borderId="17" xfId="0" applyFont="1" applyFill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8" fillId="4" borderId="17" xfId="0" applyFont="1" applyFill="1" applyBorder="1"/>
    <xf numFmtId="14" fontId="4" fillId="0" borderId="0" xfId="0" applyNumberFormat="1" applyFont="1"/>
    <xf numFmtId="0" fontId="24" fillId="6" borderId="0" xfId="0" applyFont="1" applyFill="1"/>
    <xf numFmtId="0" fontId="4" fillId="26" borderId="0" xfId="0" applyFont="1" applyFill="1"/>
    <xf numFmtId="0" fontId="10" fillId="26" borderId="5" xfId="0" applyFont="1" applyFill="1" applyBorder="1" applyAlignment="1">
      <alignment horizontal="right"/>
    </xf>
    <xf numFmtId="0" fontId="5" fillId="26" borderId="0" xfId="0" applyFont="1" applyFill="1"/>
    <xf numFmtId="0" fontId="11" fillId="26" borderId="0" xfId="0" applyFont="1" applyFill="1"/>
    <xf numFmtId="0" fontId="18" fillId="26" borderId="0" xfId="0" applyFont="1" applyFill="1"/>
    <xf numFmtId="0" fontId="3" fillId="26" borderId="0" xfId="0" applyFont="1" applyFill="1"/>
    <xf numFmtId="0" fontId="26" fillId="26" borderId="0" xfId="0" applyFont="1" applyFill="1"/>
    <xf numFmtId="14" fontId="26" fillId="26" borderId="0" xfId="0" applyNumberFormat="1" applyFont="1" applyFill="1"/>
    <xf numFmtId="14" fontId="4" fillId="26" borderId="0" xfId="0" applyNumberFormat="1" applyFont="1" applyFill="1"/>
    <xf numFmtId="0" fontId="12" fillId="26" borderId="5" xfId="0" applyFont="1" applyFill="1" applyBorder="1"/>
    <xf numFmtId="0" fontId="6" fillId="26" borderId="5" xfId="0" applyFont="1" applyFill="1" applyBorder="1" applyAlignment="1">
      <alignment horizontal="center"/>
    </xf>
    <xf numFmtId="0" fontId="13" fillId="26" borderId="5" xfId="0" applyFont="1" applyFill="1" applyBorder="1" applyAlignment="1">
      <alignment horizontal="center" vertical="center"/>
    </xf>
    <xf numFmtId="0" fontId="6" fillId="26" borderId="5" xfId="0" applyFont="1" applyFill="1" applyBorder="1"/>
    <xf numFmtId="0" fontId="6" fillId="26" borderId="15" xfId="0" applyFont="1" applyFill="1" applyBorder="1"/>
    <xf numFmtId="0" fontId="6" fillId="26" borderId="7" xfId="0" applyFont="1" applyFill="1" applyBorder="1" applyAlignment="1">
      <alignment horizontal="center" vertical="center"/>
    </xf>
    <xf numFmtId="0" fontId="15" fillId="26" borderId="6" xfId="0" applyFont="1" applyFill="1" applyBorder="1" applyAlignment="1">
      <alignment vertical="center"/>
    </xf>
    <xf numFmtId="20" fontId="27" fillId="26" borderId="8" xfId="0" applyNumberFormat="1" applyFont="1" applyFill="1" applyBorder="1" applyAlignment="1">
      <alignment horizontal="left" vertical="center"/>
    </xf>
    <xf numFmtId="0" fontId="27" fillId="26" borderId="2" xfId="0" applyFont="1" applyFill="1" applyBorder="1"/>
    <xf numFmtId="0" fontId="28" fillId="26" borderId="3" xfId="0" applyFont="1" applyFill="1" applyBorder="1" applyAlignment="1">
      <alignment vertical="center"/>
    </xf>
    <xf numFmtId="0" fontId="29" fillId="26" borderId="3" xfId="0" applyFont="1" applyFill="1" applyBorder="1" applyAlignment="1">
      <alignment vertical="center"/>
    </xf>
    <xf numFmtId="0" fontId="30" fillId="26" borderId="3" xfId="0" applyFont="1" applyFill="1" applyBorder="1" applyAlignment="1">
      <alignment vertical="center"/>
    </xf>
    <xf numFmtId="0" fontId="31" fillId="26" borderId="3" xfId="0" applyFont="1" applyFill="1" applyBorder="1" applyAlignment="1">
      <alignment vertical="center"/>
    </xf>
    <xf numFmtId="0" fontId="28" fillId="26" borderId="3" xfId="0" applyFont="1" applyFill="1" applyBorder="1" applyAlignment="1">
      <alignment horizontal="right" vertical="center"/>
    </xf>
    <xf numFmtId="168" fontId="28" fillId="26" borderId="3" xfId="0" applyNumberFormat="1" applyFont="1" applyFill="1" applyBorder="1" applyAlignment="1">
      <alignment vertical="center"/>
    </xf>
    <xf numFmtId="14" fontId="28" fillId="26" borderId="3" xfId="0" applyNumberFormat="1" applyFont="1" applyFill="1" applyBorder="1" applyAlignment="1">
      <alignment horizontal="center" vertical="center"/>
    </xf>
    <xf numFmtId="0" fontId="28" fillId="26" borderId="4" xfId="0" applyFont="1" applyFill="1" applyBorder="1" applyAlignment="1">
      <alignment horizontal="left" vertical="center"/>
    </xf>
    <xf numFmtId="0" fontId="32" fillId="26" borderId="7" xfId="0" applyFont="1" applyFill="1" applyBorder="1" applyAlignment="1">
      <alignment horizontal="center" vertical="center"/>
    </xf>
    <xf numFmtId="0" fontId="33" fillId="26" borderId="13" xfId="0" applyFont="1" applyFill="1" applyBorder="1" applyAlignment="1">
      <alignment horizontal="center" vertical="center"/>
    </xf>
    <xf numFmtId="0" fontId="33" fillId="26" borderId="0" xfId="0" applyFont="1" applyFill="1" applyAlignment="1">
      <alignment horizontal="center" vertical="center"/>
    </xf>
    <xf numFmtId="0" fontId="33" fillId="26" borderId="14" xfId="0" applyFont="1" applyFill="1" applyBorder="1" applyAlignment="1">
      <alignment vertical="center"/>
    </xf>
    <xf numFmtId="0" fontId="33" fillId="26" borderId="0" xfId="0" applyFont="1" applyFill="1" applyAlignment="1">
      <alignment vertical="center"/>
    </xf>
    <xf numFmtId="0" fontId="34" fillId="26" borderId="5" xfId="0" applyFont="1" applyFill="1" applyBorder="1" applyAlignment="1">
      <alignment horizontal="right"/>
    </xf>
    <xf numFmtId="2" fontId="33" fillId="26" borderId="11" xfId="0" applyNumberFormat="1" applyFont="1" applyFill="1" applyBorder="1" applyAlignment="1">
      <alignment horizontal="left" vertical="center"/>
    </xf>
    <xf numFmtId="0" fontId="6" fillId="27" borderId="0" xfId="0" applyFont="1" applyFill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35" fillId="26" borderId="0" xfId="0" applyFont="1" applyFill="1"/>
    <xf numFmtId="0" fontId="20" fillId="28" borderId="0" xfId="0" applyFont="1" applyFill="1" applyAlignment="1">
      <alignment horizontal="center" vertical="center"/>
    </xf>
    <xf numFmtId="0" fontId="11" fillId="29" borderId="0" xfId="0" applyFont="1" applyFill="1" applyAlignment="1">
      <alignment vertical="center"/>
    </xf>
    <xf numFmtId="0" fontId="16" fillId="28" borderId="0" xfId="0" applyFont="1" applyFill="1" applyAlignment="1">
      <alignment horizontal="center" vertical="center"/>
    </xf>
    <xf numFmtId="0" fontId="6" fillId="30" borderId="0" xfId="0" applyFont="1" applyFill="1"/>
    <xf numFmtId="0" fontId="6" fillId="31" borderId="0" xfId="0" applyFont="1" applyFill="1"/>
    <xf numFmtId="0" fontId="19" fillId="32" borderId="0" xfId="0" applyFont="1" applyFill="1" applyAlignment="1">
      <alignment vertical="center"/>
    </xf>
    <xf numFmtId="0" fontId="6" fillId="32" borderId="0" xfId="0" applyFont="1" applyFill="1" applyAlignment="1">
      <alignment vertical="center"/>
    </xf>
    <xf numFmtId="0" fontId="6" fillId="33" borderId="0" xfId="0" applyFont="1" applyFill="1" applyAlignment="1">
      <alignment horizontal="left" vertical="center"/>
    </xf>
    <xf numFmtId="0" fontId="6" fillId="33" borderId="0" xfId="0" applyFont="1" applyFill="1" applyAlignment="1">
      <alignment horizontal="right"/>
    </xf>
    <xf numFmtId="0" fontId="36" fillId="26" borderId="0" xfId="0" applyFont="1" applyFill="1" applyAlignment="1">
      <alignment horizontal="center" vertical="center"/>
    </xf>
    <xf numFmtId="0" fontId="37" fillId="26" borderId="0" xfId="0" applyFont="1" applyFill="1"/>
    <xf numFmtId="0" fontId="16" fillId="34" borderId="0" xfId="0" applyFont="1" applyFill="1" applyAlignment="1">
      <alignment horizontal="center" vertical="center"/>
    </xf>
    <xf numFmtId="0" fontId="38" fillId="36" borderId="0" xfId="0" applyFont="1" applyFill="1" applyAlignment="1">
      <alignment horizontal="center" vertical="center"/>
    </xf>
    <xf numFmtId="0" fontId="39" fillId="35" borderId="0" xfId="0" applyFont="1" applyFill="1" applyAlignment="1">
      <alignment horizontal="center" vertical="center"/>
    </xf>
    <xf numFmtId="0" fontId="40" fillId="37" borderId="0" xfId="0" applyFont="1" applyFill="1" applyAlignment="1">
      <alignment horizontal="center"/>
    </xf>
    <xf numFmtId="1" fontId="41" fillId="0" borderId="0" xfId="1" applyNumberFormat="1" applyFont="1" applyFill="1" applyBorder="1" applyAlignment="1">
      <alignment horizontal="center" vertical="center"/>
    </xf>
    <xf numFmtId="0" fontId="11" fillId="26" borderId="5" xfId="0" applyFont="1" applyFill="1" applyBorder="1" applyAlignment="1">
      <alignment horizontal="center"/>
    </xf>
    <xf numFmtId="0" fontId="23" fillId="26" borderId="0" xfId="0" applyFont="1" applyFill="1"/>
    <xf numFmtId="0" fontId="7" fillId="26" borderId="0" xfId="0" applyFont="1" applyFill="1"/>
    <xf numFmtId="0" fontId="8" fillId="26" borderId="0" xfId="0" applyFont="1" applyFill="1"/>
    <xf numFmtId="0" fontId="25" fillId="26" borderId="0" xfId="0" applyFont="1" applyFill="1"/>
    <xf numFmtId="0" fontId="18" fillId="26" borderId="0" xfId="0" applyFont="1" applyFill="1" applyAlignment="1" applyProtection="1">
      <alignment vertical="center"/>
      <protection locked="0"/>
    </xf>
    <xf numFmtId="0" fontId="18" fillId="38" borderId="0" xfId="0" applyFont="1" applyFill="1"/>
    <xf numFmtId="0" fontId="9" fillId="38" borderId="0" xfId="0" applyFont="1" applyFill="1"/>
    <xf numFmtId="0" fontId="24" fillId="38" borderId="0" xfId="0" applyFont="1" applyFill="1"/>
    <xf numFmtId="0" fontId="43" fillId="38" borderId="0" xfId="0" applyFont="1" applyFill="1"/>
    <xf numFmtId="0" fontId="18" fillId="38" borderId="0" xfId="0" applyFont="1" applyFill="1" applyAlignment="1">
      <alignment vertical="center"/>
    </xf>
    <xf numFmtId="0" fontId="24" fillId="38" borderId="0" xfId="0" applyFont="1" applyFill="1" applyAlignment="1">
      <alignment vertical="center"/>
    </xf>
    <xf numFmtId="0" fontId="6" fillId="26" borderId="0" xfId="0" applyFont="1" applyFill="1"/>
    <xf numFmtId="0" fontId="17" fillId="39" borderId="0" xfId="0" applyFont="1" applyFill="1" applyAlignment="1">
      <alignment horizontal="center" vertical="center"/>
    </xf>
    <xf numFmtId="0" fontId="17" fillId="40" borderId="0" xfId="0" applyFont="1" applyFill="1" applyAlignment="1">
      <alignment horizontal="center" vertical="center"/>
    </xf>
    <xf numFmtId="0" fontId="11" fillId="41" borderId="0" xfId="0" applyFont="1" applyFill="1" applyAlignment="1">
      <alignment horizontal="center" vertical="center"/>
    </xf>
    <xf numFmtId="0" fontId="17" fillId="42" borderId="0" xfId="0" applyFont="1" applyFill="1" applyAlignment="1">
      <alignment horizontal="center" vertical="center"/>
    </xf>
    <xf numFmtId="0" fontId="6" fillId="43" borderId="0" xfId="0" applyFont="1" applyFill="1"/>
    <xf numFmtId="14" fontId="0" fillId="0" borderId="0" xfId="0" applyNumberFormat="1"/>
    <xf numFmtId="169" fontId="0" fillId="0" borderId="0" xfId="0" applyNumberFormat="1"/>
    <xf numFmtId="2" fontId="18" fillId="26" borderId="0" xfId="0" applyNumberFormat="1" applyFont="1" applyFill="1"/>
    <xf numFmtId="14" fontId="0" fillId="43" borderId="0" xfId="0" applyNumberFormat="1" applyFill="1"/>
    <xf numFmtId="0" fontId="44" fillId="26" borderId="0" xfId="0" applyFont="1" applyFill="1"/>
    <xf numFmtId="2" fontId="18" fillId="43" borderId="0" xfId="0" applyNumberFormat="1" applyFont="1" applyFill="1"/>
    <xf numFmtId="0" fontId="45" fillId="13" borderId="0" xfId="0" applyFont="1" applyFill="1" applyAlignment="1">
      <alignment horizontal="center" vertical="center"/>
    </xf>
    <xf numFmtId="2" fontId="42" fillId="0" borderId="0" xfId="0" applyNumberFormat="1" applyFont="1"/>
    <xf numFmtId="2" fontId="42" fillId="43" borderId="0" xfId="0" applyNumberFormat="1" applyFont="1" applyFill="1"/>
    <xf numFmtId="0" fontId="46" fillId="15" borderId="0" xfId="0" applyFont="1" applyFill="1" applyAlignment="1">
      <alignment horizontal="center" vertical="center"/>
    </xf>
    <xf numFmtId="2" fontId="47" fillId="0" borderId="0" xfId="0" applyNumberFormat="1" applyFont="1"/>
    <xf numFmtId="2" fontId="47" fillId="43" borderId="0" xfId="0" applyNumberFormat="1" applyFont="1" applyFill="1"/>
    <xf numFmtId="0" fontId="48" fillId="17" borderId="0" xfId="0" applyFont="1" applyFill="1" applyAlignment="1">
      <alignment horizontal="center" vertical="center"/>
    </xf>
    <xf numFmtId="2" fontId="49" fillId="0" borderId="0" xfId="0" applyNumberFormat="1" applyFont="1"/>
    <xf numFmtId="2" fontId="49" fillId="43" borderId="0" xfId="0" applyNumberFormat="1" applyFont="1" applyFill="1"/>
    <xf numFmtId="0" fontId="50" fillId="39" borderId="0" xfId="0" applyFont="1" applyFill="1" applyAlignment="1">
      <alignment horizontal="center" vertical="center"/>
    </xf>
    <xf numFmtId="2" fontId="51" fillId="0" borderId="0" xfId="0" applyNumberFormat="1" applyFont="1"/>
    <xf numFmtId="2" fontId="51" fillId="43" borderId="0" xfId="0" applyNumberFormat="1" applyFont="1" applyFill="1"/>
    <xf numFmtId="0" fontId="52" fillId="8" borderId="0" xfId="0" applyFont="1" applyFill="1" applyAlignment="1">
      <alignment horizontal="center" vertical="center"/>
    </xf>
    <xf numFmtId="2" fontId="53" fillId="0" borderId="0" xfId="0" applyNumberFormat="1" applyFont="1"/>
    <xf numFmtId="2" fontId="53" fillId="43" borderId="0" xfId="0" applyNumberFormat="1" applyFont="1" applyFill="1"/>
    <xf numFmtId="0" fontId="16" fillId="40" borderId="0" xfId="0" applyFont="1" applyFill="1" applyAlignment="1">
      <alignment horizontal="center" vertical="center"/>
    </xf>
    <xf numFmtId="2" fontId="54" fillId="0" borderId="0" xfId="0" applyNumberFormat="1" applyFont="1"/>
    <xf numFmtId="2" fontId="54" fillId="43" borderId="0" xfId="0" applyNumberFormat="1" applyFont="1" applyFill="1"/>
    <xf numFmtId="0" fontId="39" fillId="41" borderId="0" xfId="0" applyFont="1" applyFill="1" applyAlignment="1">
      <alignment horizontal="center" vertical="center"/>
    </xf>
    <xf numFmtId="2" fontId="55" fillId="0" borderId="0" xfId="0" applyNumberFormat="1" applyFont="1"/>
    <xf numFmtId="2" fontId="55" fillId="43" borderId="0" xfId="0" applyNumberFormat="1" applyFont="1" applyFill="1"/>
    <xf numFmtId="0" fontId="20" fillId="42" borderId="0" xfId="0" applyFont="1" applyFill="1" applyAlignment="1">
      <alignment horizontal="center" vertical="center"/>
    </xf>
    <xf numFmtId="2" fontId="56" fillId="0" borderId="0" xfId="0" applyNumberFormat="1" applyFont="1"/>
    <xf numFmtId="2" fontId="56" fillId="43" borderId="0" xfId="0" applyNumberFormat="1" applyFont="1" applyFill="1"/>
    <xf numFmtId="0" fontId="57" fillId="7" borderId="0" xfId="0" applyFont="1" applyFill="1" applyAlignment="1">
      <alignment horizontal="center" vertical="center"/>
    </xf>
    <xf numFmtId="2" fontId="58" fillId="0" borderId="0" xfId="0" applyNumberFormat="1" applyFont="1"/>
    <xf numFmtId="2" fontId="58" fillId="43" borderId="0" xfId="0" applyNumberFormat="1" applyFont="1" applyFill="1"/>
    <xf numFmtId="2" fontId="6" fillId="26" borderId="0" xfId="0" applyNumberFormat="1" applyFont="1" applyFill="1" applyAlignment="1">
      <alignment horizontal="right"/>
    </xf>
    <xf numFmtId="0" fontId="6" fillId="26" borderId="0" xfId="0" applyFont="1" applyFill="1" applyAlignment="1">
      <alignment horizontal="right"/>
    </xf>
    <xf numFmtId="2" fontId="0" fillId="0" borderId="0" xfId="0" applyNumberFormat="1"/>
    <xf numFmtId="2" fontId="23" fillId="38" borderId="20" xfId="0" applyNumberFormat="1" applyFont="1" applyFill="1" applyBorder="1" applyAlignment="1">
      <alignment horizontal="center"/>
    </xf>
    <xf numFmtId="2" fontId="23" fillId="38" borderId="0" xfId="0" applyNumberFormat="1" applyFont="1" applyFill="1" applyAlignment="1">
      <alignment horizontal="center"/>
    </xf>
    <xf numFmtId="0" fontId="23" fillId="38" borderId="0" xfId="0" applyFont="1" applyFill="1" applyAlignment="1">
      <alignment horizontal="center"/>
    </xf>
    <xf numFmtId="0" fontId="18" fillId="4" borderId="18" xfId="0" applyFont="1" applyFill="1" applyBorder="1" applyAlignment="1">
      <alignment horizontal="left"/>
    </xf>
    <xf numFmtId="0" fontId="18" fillId="4" borderId="19" xfId="0" applyFont="1" applyFill="1" applyBorder="1" applyAlignment="1">
      <alignment horizontal="left"/>
    </xf>
    <xf numFmtId="14" fontId="33" fillId="26" borderId="13" xfId="0" applyNumberFormat="1" applyFont="1" applyFill="1" applyBorder="1" applyAlignment="1">
      <alignment horizontal="center" vertical="center"/>
    </xf>
    <xf numFmtId="167" fontId="14" fillId="26" borderId="5" xfId="0" applyNumberFormat="1" applyFont="1" applyFill="1" applyBorder="1" applyAlignment="1">
      <alignment horizontal="center" vertical="center"/>
    </xf>
    <xf numFmtId="0" fontId="33" fillId="26" borderId="9" xfId="0" applyFont="1" applyFill="1" applyBorder="1" applyAlignment="1">
      <alignment horizontal="left" vertical="center"/>
    </xf>
    <xf numFmtId="0" fontId="33" fillId="26" borderId="10" xfId="0" applyFont="1" applyFill="1" applyBorder="1" applyAlignment="1">
      <alignment horizontal="left" vertical="center"/>
    </xf>
    <xf numFmtId="0" fontId="33" fillId="26" borderId="12" xfId="0" applyFont="1" applyFill="1" applyBorder="1" applyAlignment="1">
      <alignment horizontal="left" vertical="center"/>
    </xf>
    <xf numFmtId="0" fontId="6" fillId="26" borderId="15" xfId="0" applyFont="1" applyFill="1" applyBorder="1" applyAlignment="1">
      <alignment horizontal="center"/>
    </xf>
    <xf numFmtId="0" fontId="6" fillId="26" borderId="5" xfId="0" applyFont="1" applyFill="1" applyBorder="1" applyAlignment="1">
      <alignment horizontal="center"/>
    </xf>
    <xf numFmtId="0" fontId="28" fillId="26" borderId="3" xfId="0" applyFont="1" applyFill="1" applyBorder="1" applyAlignment="1">
      <alignment horizontal="center" vertical="center"/>
    </xf>
    <xf numFmtId="165" fontId="28" fillId="26" borderId="3" xfId="0" applyNumberFormat="1" applyFont="1" applyFill="1" applyBorder="1" applyAlignment="1">
      <alignment horizontal="center" vertical="center" wrapText="1"/>
    </xf>
    <xf numFmtId="168" fontId="28" fillId="26" borderId="3" xfId="0" applyNumberFormat="1" applyFont="1" applyFill="1" applyBorder="1" applyAlignment="1">
      <alignment horizontal="left" vertical="center"/>
    </xf>
    <xf numFmtId="166" fontId="28" fillId="26" borderId="7" xfId="0" applyNumberFormat="1" applyFont="1" applyFill="1" applyBorder="1" applyAlignment="1">
      <alignment horizontal="center"/>
    </xf>
    <xf numFmtId="0" fontId="28" fillId="26" borderId="7" xfId="0" applyFont="1" applyFill="1" applyBorder="1" applyAlignment="1">
      <alignment horizontal="center"/>
    </xf>
  </cellXfs>
  <cellStyles count="2">
    <cellStyle name="Komma" xfId="1" builtinId="3"/>
    <cellStyle name="Standard" xfId="0" builtinId="0"/>
  </cellStyles>
  <dxfs count="9754"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theme="9" tint="-0.24994659260841701"/>
      </font>
    </dxf>
    <dxf>
      <font>
        <color rgb="FFC00000"/>
      </font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33691E"/>
      </font>
      <fill>
        <patternFill>
          <bgColor rgb="FFF1F8E9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33691E"/>
      </font>
      <fill>
        <patternFill>
          <bgColor rgb="FFF1F8E9"/>
        </patternFill>
      </fill>
    </dxf>
    <dxf>
      <font>
        <b/>
        <i val="0"/>
        <color theme="0"/>
      </font>
      <fill>
        <patternFill>
          <bgColor rgb="FFF44336"/>
        </patternFill>
      </fill>
    </dxf>
    <dxf>
      <font>
        <b/>
        <i val="0"/>
        <color theme="0"/>
      </font>
      <fill>
        <patternFill>
          <bgColor rgb="FFFDD835"/>
        </patternFill>
      </fill>
    </dxf>
    <dxf>
      <font>
        <b/>
        <i val="0"/>
        <color theme="0"/>
      </font>
      <fill>
        <patternFill>
          <bgColor rgb="FF9C27B0"/>
        </patternFill>
      </fill>
    </dxf>
    <dxf>
      <font>
        <b/>
        <i val="0"/>
        <color theme="0"/>
      </font>
      <fill>
        <patternFill>
          <bgColor rgb="FF03A9F4"/>
        </patternFill>
      </fill>
    </dxf>
    <dxf>
      <font>
        <b/>
        <i val="0"/>
        <color theme="0"/>
      </font>
      <fill>
        <patternFill>
          <bgColor rgb="FF8BC34A"/>
        </patternFill>
      </fill>
    </dxf>
    <dxf>
      <font>
        <b/>
        <i val="0"/>
        <color theme="0"/>
      </font>
      <fill>
        <patternFill>
          <bgColor rgb="FF3F51B5"/>
        </patternFill>
      </fill>
    </dxf>
    <dxf>
      <font>
        <b/>
        <i val="0"/>
        <color theme="0"/>
      </font>
      <fill>
        <patternFill>
          <fgColor auto="1"/>
          <bgColor rgb="FF009688"/>
        </patternFill>
      </fill>
    </dxf>
    <dxf>
      <font>
        <b/>
        <i val="0"/>
        <color theme="0"/>
      </font>
      <fill>
        <patternFill>
          <bgColor rgb="FFFB8C00"/>
        </patternFill>
      </fill>
    </dxf>
    <dxf>
      <font>
        <b/>
        <i val="0"/>
        <color theme="0"/>
      </font>
      <fill>
        <patternFill>
          <bgColor rgb="FF795548"/>
        </patternFill>
      </fill>
    </dxf>
    <dxf>
      <font>
        <b/>
        <i val="0"/>
        <color theme="0"/>
      </font>
      <fill>
        <patternFill patternType="darkUp">
          <fgColor theme="8" tint="-0.24994659260841701"/>
          <bgColor theme="8" tint="-0.499984740745262"/>
        </patternFill>
      </fill>
    </dxf>
    <dxf>
      <font>
        <b/>
        <i val="0"/>
        <color theme="9" tint="0.79998168889431442"/>
      </font>
      <fill>
        <patternFill patternType="darkUp">
          <fgColor theme="9" tint="-0.24994659260841701"/>
          <bgColor theme="9" tint="-0.499984740745262"/>
        </patternFill>
      </fill>
    </dxf>
    <dxf>
      <font>
        <b/>
        <i val="0"/>
        <color theme="7" tint="0.79998168889431442"/>
      </font>
      <fill>
        <patternFill patternType="darkUp">
          <fgColor theme="7" tint="-0.24994659260841701"/>
          <bgColor theme="7" tint="-0.499984740745262"/>
        </patternFill>
      </fill>
    </dxf>
    <dxf>
      <font>
        <b/>
        <i val="0"/>
        <color theme="5" tint="0.79998168889431442"/>
      </font>
      <fill>
        <patternFill patternType="darkUp">
          <fgColor theme="5" tint="-0.24994659260841701"/>
          <bgColor theme="5" tint="-0.499984740745262"/>
        </patternFill>
      </fill>
    </dxf>
    <dxf>
      <font>
        <color rgb="FFB71C1C"/>
      </font>
      <fill>
        <patternFill>
          <bgColor rgb="FFFFEBEE"/>
        </patternFill>
      </fill>
    </dxf>
    <dxf>
      <font>
        <color rgb="FF01579B"/>
      </font>
      <fill>
        <patternFill>
          <bgColor rgb="FFE1F5FE"/>
        </patternFill>
      </fill>
    </dxf>
    <dxf>
      <font>
        <color rgb="FF4A148C"/>
      </font>
      <fill>
        <patternFill>
          <bgColor rgb="FFF3E5F5"/>
        </patternFill>
      </fill>
    </dxf>
    <dxf>
      <font>
        <color rgb="FF004D40"/>
      </font>
      <fill>
        <patternFill>
          <bgColor rgb="FFE0F2F1"/>
        </patternFill>
      </fill>
    </dxf>
    <dxf>
      <font>
        <b val="0"/>
        <i val="0"/>
        <color rgb="FF1A237E"/>
      </font>
      <fill>
        <patternFill>
          <bgColor rgb="FFE8EAF6"/>
        </patternFill>
      </fill>
    </dxf>
    <dxf>
      <font>
        <color rgb="FFF57F17"/>
      </font>
      <fill>
        <patternFill>
          <bgColor rgb="FFFFFDE7"/>
        </patternFill>
      </fill>
    </dxf>
    <dxf>
      <font>
        <color rgb="FFE65100"/>
      </font>
      <fill>
        <patternFill>
          <bgColor rgb="FFFFF3E0"/>
        </patternFill>
      </fill>
    </dxf>
    <dxf>
      <font>
        <color theme="1"/>
      </font>
      <fill>
        <patternFill patternType="darkUp">
          <fgColor theme="8" tint="-0.24994659260841701"/>
          <bgColor theme="0"/>
        </patternFill>
      </fill>
    </dxf>
    <dxf>
      <fill>
        <patternFill patternType="darkUp">
          <fgColor theme="9" tint="-0.24994659260841701"/>
          <bgColor theme="0"/>
        </patternFill>
      </fill>
    </dxf>
    <dxf>
      <fill>
        <patternFill patternType="darkUp">
          <fgColor theme="0"/>
          <bgColor rgb="FFFFC000"/>
        </patternFill>
      </fill>
    </dxf>
    <dxf>
      <font>
        <color rgb="FF3E2723"/>
      </font>
      <fill>
        <patternFill>
          <bgColor rgb="FFEFEBE9"/>
        </patternFill>
      </fill>
    </dxf>
    <dxf>
      <fill>
        <patternFill patternType="darkUp">
          <fgColor theme="5" tint="-0.24994659260841701"/>
          <bgColor theme="0"/>
        </patternFill>
      </fill>
    </dxf>
    <dxf>
      <font>
        <color rgb="FFFF0000"/>
      </font>
    </dxf>
    <dxf>
      <font>
        <color theme="9"/>
      </font>
      <numFmt numFmtId="0" formatCode="General"/>
    </dxf>
  </dxfs>
  <tableStyles count="0" defaultTableStyle="TableStyleMedium2" defaultPivotStyle="PivotStyleLight16"/>
  <colors>
    <mruColors>
      <color rgb="FF795548"/>
      <color rgb="FF009688"/>
      <color rgb="FF3F51B5"/>
      <color rgb="FF9C27B0"/>
      <color rgb="FFF44336"/>
      <color rgb="FFD9DBDF"/>
      <color rgb="FFE1E5E9"/>
      <color rgb="FFD1D5D9"/>
      <color rgb="FFE9EBEF"/>
      <color rgb="FF50EA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r>
              <a:rPr lang="de-DE" sz="1600" b="1"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rPr>
              <a:t>Arbeitsverteilung</a:t>
            </a:r>
          </a:p>
        </c:rich>
      </c:tx>
      <c:layout>
        <c:manualLayout>
          <c:xMode val="edge"/>
          <c:yMode val="edge"/>
          <c:x val="2.8763779527559069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4433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40-4680-8640-FD300EA7E7C4}"/>
              </c:ext>
            </c:extLst>
          </c:dPt>
          <c:dPt>
            <c:idx val="1"/>
            <c:bubble3D val="0"/>
            <c:spPr>
              <a:solidFill>
                <a:srgbClr val="9C27B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ACA-4E3A-B2DB-71B6D253AB10}"/>
              </c:ext>
            </c:extLst>
          </c:dPt>
          <c:dPt>
            <c:idx val="2"/>
            <c:bubble3D val="0"/>
            <c:spPr>
              <a:solidFill>
                <a:srgbClr val="3F51B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ACA-4E3A-B2DB-71B6D253AB10}"/>
              </c:ext>
            </c:extLst>
          </c:dPt>
          <c:dPt>
            <c:idx val="3"/>
            <c:bubble3D val="0"/>
            <c:spPr>
              <a:solidFill>
                <a:srgbClr val="03A9F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ACA-4E3A-B2DB-71B6D253AB10}"/>
              </c:ext>
            </c:extLst>
          </c:dPt>
          <c:dPt>
            <c:idx val="4"/>
            <c:bubble3D val="0"/>
            <c:spPr>
              <a:solidFill>
                <a:srgbClr val="00968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ACA-4E3A-B2DB-71B6D253AB10}"/>
              </c:ext>
            </c:extLst>
          </c:dPt>
          <c:dPt>
            <c:idx val="5"/>
            <c:bubble3D val="0"/>
            <c:spPr>
              <a:solidFill>
                <a:srgbClr val="8BC34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ACA-4E3A-B2DB-71B6D253AB10}"/>
              </c:ext>
            </c:extLst>
          </c:dPt>
          <c:dPt>
            <c:idx val="6"/>
            <c:bubble3D val="0"/>
            <c:spPr>
              <a:solidFill>
                <a:srgbClr val="FDD8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ACA-4E3A-B2DB-71B6D253AB10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9D1-448D-AC42-6349573EE183}"/>
              </c:ext>
            </c:extLst>
          </c:dPt>
          <c:dPt>
            <c:idx val="8"/>
            <c:bubble3D val="0"/>
            <c:spPr>
              <a:solidFill>
                <a:srgbClr val="FB8C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421-4E09-A700-C00422CD5E4B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9D1-448D-AC42-6349573EE183}"/>
              </c:ext>
            </c:extLst>
          </c:dPt>
          <c:dPt>
            <c:idx val="10"/>
            <c:bubble3D val="0"/>
            <c:spPr>
              <a:solidFill>
                <a:srgbClr val="79554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421-4E09-A700-C00422CD5E4B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Übersicht!$Q$10:$Q$26</c15:sqref>
                  </c15:fullRef>
                </c:ext>
              </c:extLst>
              <c:f>(Übersicht!$Q$10,Übersicht!$Q$12,Übersicht!$Q$14,Übersicht!$Q$16,Übersicht!$Q$18,Übersicht!$Q$20,Übersicht!$Q$22:$Q$26)</c:f>
              <c:strCache>
                <c:ptCount val="11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8">
                  <c:v>Kategorie H</c:v>
                </c:pt>
                <c:pt idx="10">
                  <c:v>Kategorie 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Übersicht!$R$10:$R$26</c15:sqref>
                  </c15:fullRef>
                </c:ext>
              </c:extLst>
              <c:f>(Übersicht!$R$10,Übersicht!$R$12,Übersicht!$R$14,Übersicht!$R$16,Übersicht!$R$18,Übersicht!$R$20,Übersicht!$R$22:$R$26)</c:f>
              <c:numCache>
                <c:formatCode>General</c:formatCode>
                <c:ptCount val="11"/>
                <c:pt idx="0" formatCode="0.00">
                  <c:v>0</c:v>
                </c:pt>
                <c:pt idx="1" formatCode="0.00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8" formatCode="0.00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0ACA-4E3A-B2DB-71B6D253A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egendEntry>
        <c:idx val="7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9EBE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r>
              <a:rPr lang="de-DE" sz="1600" b="1"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rPr>
              <a:t>Urlaub</a:t>
            </a:r>
          </a:p>
        </c:rich>
      </c:tx>
      <c:layout>
        <c:manualLayout>
          <c:xMode val="edge"/>
          <c:yMode val="edge"/>
          <c:x val="6.9808503280451462E-2"/>
          <c:y val="3.5190615835777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DF0-4B94-8411-3FF6468424FF}"/>
              </c:ext>
            </c:extLst>
          </c:dPt>
          <c:dPt>
            <c:idx val="1"/>
            <c:bubble3D val="0"/>
            <c:spPr>
              <a:solidFill>
                <a:srgbClr val="FF2D5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F0-4B94-8411-3FF6468424FF}"/>
              </c:ext>
            </c:extLst>
          </c:dPt>
          <c:cat>
            <c:strRef>
              <c:f>Übersicht!$V$66:$V$67</c:f>
              <c:strCache>
                <c:ptCount val="2"/>
                <c:pt idx="0">
                  <c:v>Rest</c:v>
                </c:pt>
                <c:pt idx="1">
                  <c:v>Genommen</c:v>
                </c:pt>
              </c:strCache>
            </c:strRef>
          </c:cat>
          <c:val>
            <c:numRef>
              <c:f>Übersicht!$W$66:$W$67</c:f>
              <c:numCache>
                <c:formatCode>General</c:formatCode>
                <c:ptCount val="2"/>
                <c:pt idx="0">
                  <c:v>200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0-4B94-8411-3FF646842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F2-41AD-8DC3-65322754D3F0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0F2-41AD-8DC3-65322754D3F0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F2-41AD-8DC3-65322754D3F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0F2-41AD-8DC3-65322754D3F0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F2-41AD-8DC3-65322754D3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0F2-41AD-8DC3-65322754D3F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F2-41AD-8DC3-65322754D3F0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0F2-41AD-8DC3-65322754D3F0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F2-41AD-8DC3-65322754D3F0}"/>
              </c:ext>
            </c:extLst>
          </c:dPt>
          <c:cat>
            <c:strRef>
              <c:f>'KW 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2-41AD-8DC3-65322754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B9-4247-B657-610011265F2E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B9-4247-B657-610011265F2E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EB9-4247-B657-610011265F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EB9-4247-B657-610011265F2E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EB9-4247-B657-610011265F2E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EB9-4247-B657-610011265F2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EB9-4247-B657-610011265F2E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EB9-4247-B657-610011265F2E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EB9-4247-B657-610011265F2E}"/>
              </c:ext>
            </c:extLst>
          </c:dPt>
          <c:cat>
            <c:strRef>
              <c:f>'KW 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EB9-4247-B657-610011265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D-6749-A62B-774DE82B8C5F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D-6749-A62B-774DE82B8C5F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D-6749-A62B-774DE82B8C5F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D-6749-A62B-774DE82B8C5F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D-6749-A62B-774DE82B8C5F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D-6749-A62B-774DE82B8C5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D-6749-A62B-774DE82B8C5F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D-6749-A62B-774DE82B8C5F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D-6749-A62B-774DE82B8C5F}"/>
              </c:ext>
            </c:extLst>
          </c:dPt>
          <c:cat>
            <c:strRef>
              <c:f>'KW 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5CD-6749-A62B-774DE82B8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CC-0C41-9FF3-B4E2E073A2B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CC-0C41-9FF3-B4E2E073A2B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CC-0C41-9FF3-B4E2E073A2B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CC-0C41-9FF3-B4E2E073A2B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CC-0C41-9FF3-B4E2E073A2B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CC-0C41-9FF3-B4E2E073A2B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CCC-0C41-9FF3-B4E2E073A2B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CCC-0C41-9FF3-B4E2E073A2B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CCC-0C41-9FF3-B4E2E073A2B8}"/>
              </c:ext>
            </c:extLst>
          </c:dPt>
          <c:cat>
            <c:strRef>
              <c:f>'KW 4'!$Y$5:$Y$13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CCC-0C41-9FF3-B4E2E073A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13A-A44E-861A-9CE0A4DF337F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3A-A44E-861A-9CE0A4DF337F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3A-A44E-861A-9CE0A4DF337F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3A-A44E-861A-9CE0A4DF337F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3A-A44E-861A-9CE0A4DF337F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13A-A44E-861A-9CE0A4DF337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13A-A44E-861A-9CE0A4DF337F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13A-A44E-861A-9CE0A4DF337F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13A-A44E-861A-9CE0A4DF337F}"/>
              </c:ext>
            </c:extLst>
          </c:dPt>
          <c:cat>
            <c:strRef>
              <c:f>'KW 5'!$Y$5:$Y$13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5'!$Z$5:$Z$13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13A-A44E-861A-9CE0A4DF3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48-6A4C-82F5-C52FE795442C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48-6A4C-82F5-C52FE795442C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48-6A4C-82F5-C52FE795442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48-6A4C-82F5-C52FE795442C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48-6A4C-82F5-C52FE795442C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48-6A4C-82F5-C52FE795442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F48-6A4C-82F5-C52FE795442C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F48-6A4C-82F5-C52FE795442C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F48-6A4C-82F5-C52FE795442C}"/>
              </c:ext>
            </c:extLst>
          </c:dPt>
          <c:cat>
            <c:strRef>
              <c:f>'KW 6'!$Y$5:$Y$13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6'!$Z$5:$Z$13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48-6A4C-82F5-C52FE7954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52-FF48-8B44-D9BD572AA595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52-FF48-8B44-D9BD572AA595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52-FF48-8B44-D9BD572AA595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52-FF48-8B44-D9BD572AA595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52-FF48-8B44-D9BD572AA595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52-FF48-8B44-D9BD572AA59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52-FF48-8B44-D9BD572AA595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52-FF48-8B44-D9BD572AA595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52-FF48-8B44-D9BD572AA595}"/>
              </c:ext>
            </c:extLst>
          </c:dPt>
          <c:cat>
            <c:strRef>
              <c:f>'KW 7'!$Y$5:$Y$13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7'!$Z$5:$Z$13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52-FF48-8B44-D9BD572A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10-5C4A-A7BD-8CAD854A6DD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10-5C4A-A7BD-8CAD854A6DD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10-5C4A-A7BD-8CAD854A6DD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10-5C4A-A7BD-8CAD854A6DD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10-5C4A-A7BD-8CAD854A6DD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210-5C4A-A7BD-8CAD854A6DD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210-5C4A-A7BD-8CAD854A6DD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210-5C4A-A7BD-8CAD854A6DD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210-5C4A-A7BD-8CAD854A6DD8}"/>
              </c:ext>
            </c:extLst>
          </c:dPt>
          <c:cat>
            <c:strRef>
              <c:f>'KW 8'!$Y$5:$Y$13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8'!$Z$5:$Z$13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10-5C4A-A7BD-8CAD854A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29-A24F-9E69-52BEDAEB6A95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29-A24F-9E69-52BEDAEB6A95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29-A24F-9E69-52BEDAEB6A95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29-A24F-9E69-52BEDAEB6A95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329-A24F-9E69-52BEDAEB6A95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329-A24F-9E69-52BEDAEB6A9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329-A24F-9E69-52BEDAEB6A95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329-A24F-9E69-52BEDAEB6A95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329-A24F-9E69-52BEDAEB6A95}"/>
              </c:ext>
            </c:extLst>
          </c:dPt>
          <c:cat>
            <c:strRef>
              <c:f>'KW 9'!$Y$5:$Y$13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9'!$Z$5:$Z$13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329-A24F-9E69-52BEDAEB6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3D-ED4D-970F-4300CB71CC5E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3D-ED4D-970F-4300CB71CC5E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3D-ED4D-970F-4300CB71CC5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3D-ED4D-970F-4300CB71CC5E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D-ED4D-970F-4300CB71CC5E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53D-ED4D-970F-4300CB71CC5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D-ED4D-970F-4300CB71CC5E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53D-ED4D-970F-4300CB71CC5E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53D-ED4D-970F-4300CB71CC5E}"/>
              </c:ext>
            </c:extLst>
          </c:dPt>
          <c:cat>
            <c:strRef>
              <c:f>'KW 10'!$Y$5:$Y$13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10'!$Z$5:$Z$13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53D-ED4D-970F-4300CB71C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62-2646-B29B-2D9FF8D69D2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62-2646-B29B-2D9FF8D69D2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D62-2646-B29B-2D9FF8D69D2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D62-2646-B29B-2D9FF8D69D2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D62-2646-B29B-2D9FF8D69D2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D62-2646-B29B-2D9FF8D69D2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D62-2646-B29B-2D9FF8D69D2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D62-2646-B29B-2D9FF8D69D2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D62-2646-B29B-2D9FF8D69D2A}"/>
              </c:ext>
            </c:extLst>
          </c:dPt>
          <c:cat>
            <c:strRef>
              <c:f>'KW 11'!$Y$5:$Y$13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D62-2646-B29B-2D9FF8D69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2B-7C4E-A809-70C3EAC34796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2B-7C4E-A809-70C3EAC34796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02B-7C4E-A809-70C3EAC34796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2B-7C4E-A809-70C3EAC34796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02B-7C4E-A809-70C3EAC34796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02B-7C4E-A809-70C3EAC3479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02B-7C4E-A809-70C3EAC34796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02B-7C4E-A809-70C3EAC34796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02B-7C4E-A809-70C3EAC34796}"/>
              </c:ext>
            </c:extLst>
          </c:dPt>
          <c:cat>
            <c:strRef>
              <c:f>'KW 12'!$Y$5:$Y$13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2B-7C4E-A809-70C3EAC34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AD-8846-A5D7-DC37BCEC1302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AD-8846-A5D7-DC37BCEC1302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CAD-8846-A5D7-DC37BCEC1302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AD-8846-A5D7-DC37BCEC1302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CAD-8846-A5D7-DC37BCEC1302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CAD-8846-A5D7-DC37BCEC130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CAD-8846-A5D7-DC37BCEC1302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CAD-8846-A5D7-DC37BCEC1302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CAD-8846-A5D7-DC37BCEC1302}"/>
              </c:ext>
            </c:extLst>
          </c:dPt>
          <c:cat>
            <c:strRef>
              <c:f>'KW 13'!$Y$5:$Y$13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CAD-8846-A5D7-DC37BCEC1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DA-4B4D-BF75-9936B953F0A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DA-4B4D-BF75-9936B953F0A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DA-4B4D-BF75-9936B953F0A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DA-4B4D-BF75-9936B953F0A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1DA-4B4D-BF75-9936B953F0A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1DA-4B4D-BF75-9936B953F0A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1DA-4B4D-BF75-9936B953F0A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DA-4B4D-BF75-9936B953F0A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DA-4B4D-BF75-9936B953F0A8}"/>
              </c:ext>
            </c:extLst>
          </c:dPt>
          <c:cat>
            <c:strRef>
              <c:f>'KW 14'!$Y$5:$Y$13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14'!$Z$5:$Z$13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DA-4B4D-BF75-9936B953F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42-3643-85C6-C55AB0EBCAA7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42-3643-85C6-C55AB0EBCAA7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42-3643-85C6-C55AB0EBCAA7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42-3643-85C6-C55AB0EBCAA7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42-3643-85C6-C55AB0EBCAA7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42-3643-85C6-C55AB0EBCA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42-3643-85C6-C55AB0EBCAA7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42-3643-85C6-C55AB0EBCAA7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242-3643-85C6-C55AB0EBCAA7}"/>
              </c:ext>
            </c:extLst>
          </c:dPt>
          <c:cat>
            <c:strRef>
              <c:f>'KW 15'!$Y$5:$Y$13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15'!$Z$5:$Z$13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242-3643-85C6-C55AB0EBC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40-B040-9869-7EF37E0A7ABD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40-B040-9869-7EF37E0A7ABD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040-B040-9869-7EF37E0A7ABD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40-B040-9869-7EF37E0A7ABD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040-B040-9869-7EF37E0A7ABD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040-B040-9869-7EF37E0A7AB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040-B040-9869-7EF37E0A7ABD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040-B040-9869-7EF37E0A7ABD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040-B040-9869-7EF37E0A7ABD}"/>
              </c:ext>
            </c:extLst>
          </c:dPt>
          <c:cat>
            <c:strRef>
              <c:f>'KW 16'!$Y$5:$Y$13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16'!$Z$5:$Z$13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40-B040-9869-7EF37E0A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FA-1344-A3B8-3F77C557A041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FA-1344-A3B8-3F77C557A041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FA-1344-A3B8-3F77C557A041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2FA-1344-A3B8-3F77C557A041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2FA-1344-A3B8-3F77C557A041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2FA-1344-A3B8-3F77C557A04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2FA-1344-A3B8-3F77C557A041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2FA-1344-A3B8-3F77C557A041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2FA-1344-A3B8-3F77C557A041}"/>
              </c:ext>
            </c:extLst>
          </c:dPt>
          <c:cat>
            <c:strRef>
              <c:f>'KW 17'!$Y$5:$Y$13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17'!$Z$5:$Z$13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2FA-1344-A3B8-3F77C557A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E6-6D4F-BF44-DE3BACD83A0C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BE6-6D4F-BF44-DE3BACD83A0C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BE6-6D4F-BF44-DE3BACD83A0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E6-6D4F-BF44-DE3BACD83A0C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BE6-6D4F-BF44-DE3BACD83A0C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BE6-6D4F-BF44-DE3BACD83A0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E6-6D4F-BF44-DE3BACD83A0C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BE6-6D4F-BF44-DE3BACD83A0C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BE6-6D4F-BF44-DE3BACD83A0C}"/>
              </c:ext>
            </c:extLst>
          </c:dPt>
          <c:cat>
            <c:strRef>
              <c:f>'KW 18'!$Y$5:$Y$13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18'!$Z$5:$Z$13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BE6-6D4F-BF44-DE3BACD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C5-C340-B8BA-BCA6A110F11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C5-C340-B8BA-BCA6A110F11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C5-C340-B8BA-BCA6A110F11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C5-C340-B8BA-BCA6A110F11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0C5-C340-B8BA-BCA6A110F11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0C5-C340-B8BA-BCA6A110F11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0C5-C340-B8BA-BCA6A110F11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0C5-C340-B8BA-BCA6A110F11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0C5-C340-B8BA-BCA6A110F114}"/>
              </c:ext>
            </c:extLst>
          </c:dPt>
          <c:cat>
            <c:strRef>
              <c:f>'KW 19'!$Y$5:$Y$13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19'!$Z$5:$Z$13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C5-C340-B8BA-BCA6A110F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93-9942-81C9-FA40ED61D556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93-9942-81C9-FA40ED61D556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93-9942-81C9-FA40ED61D556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93-9942-81C9-FA40ED61D556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493-9942-81C9-FA40ED61D556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493-9942-81C9-FA40ED61D55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493-9942-81C9-FA40ED61D556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493-9942-81C9-FA40ED61D556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493-9942-81C9-FA40ED61D556}"/>
              </c:ext>
            </c:extLst>
          </c:dPt>
          <c:cat>
            <c:strRef>
              <c:f>'KW 20'!$Y$5:$Y$13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20'!$Z$5:$Z$13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493-9942-81C9-FA40ED61D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3D-AB41-8DF8-2A9E5BB499EF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3D-AB41-8DF8-2A9E5BB499EF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73D-AB41-8DF8-2A9E5BB499EF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73D-AB41-8DF8-2A9E5BB499EF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73D-AB41-8DF8-2A9E5BB499EF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3D-AB41-8DF8-2A9E5BB499E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3D-AB41-8DF8-2A9E5BB499EF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3D-AB41-8DF8-2A9E5BB499EF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3D-AB41-8DF8-2A9E5BB499EF}"/>
              </c:ext>
            </c:extLst>
          </c:dPt>
          <c:cat>
            <c:strRef>
              <c:f>'KW 21'!$Y$5:$Y$13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73D-AB41-8DF8-2A9E5BB4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4-2249-B6D3-9FEEA6C2A337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C4-2249-B6D3-9FEEA6C2A337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C4-2249-B6D3-9FEEA6C2A337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C4-2249-B6D3-9FEEA6C2A337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C4-2249-B6D3-9FEEA6C2A337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C4-2249-B6D3-9FEEA6C2A33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C4-2249-B6D3-9FEEA6C2A337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C4-2249-B6D3-9FEEA6C2A337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1C4-2249-B6D3-9FEEA6C2A337}"/>
              </c:ext>
            </c:extLst>
          </c:dPt>
          <c:cat>
            <c:strRef>
              <c:f>'KW 22'!$Y$5:$Y$13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C4-2249-B6D3-9FEEA6C2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A2-9F4F-88FB-047C1DDD341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A2-9F4F-88FB-047C1DDD341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A2-9F4F-88FB-047C1DDD341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A2-9F4F-88FB-047C1DDD341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A2-9F4F-88FB-047C1DDD341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1A2-9F4F-88FB-047C1DDD341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1A2-9F4F-88FB-047C1DDD341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1A2-9F4F-88FB-047C1DDD341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A2-9F4F-88FB-047C1DDD3414}"/>
              </c:ext>
            </c:extLst>
          </c:dPt>
          <c:cat>
            <c:strRef>
              <c:f>'KW 23'!$Y$5:$Y$13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A2-9F4F-88FB-047C1DDD3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DC-9E44-9E02-14B6481A9D62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DC-9E44-9E02-14B6481A9D62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DC-9E44-9E02-14B6481A9D62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DC-9E44-9E02-14B6481A9D62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DC-9E44-9E02-14B6481A9D62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DC-9E44-9E02-14B6481A9D6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DC-9E44-9E02-14B6481A9D62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DC-9E44-9E02-14B6481A9D62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4DC-9E44-9E02-14B6481A9D62}"/>
              </c:ext>
            </c:extLst>
          </c:dPt>
          <c:cat>
            <c:strRef>
              <c:f>'KW 24'!$Y$5:$Y$13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24'!$Z$5:$Z$13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DC-9E44-9E02-14B6481A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A-B243-AF21-10BD101FB610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A-B243-AF21-10BD101FB610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A-B243-AF21-10BD101FB61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AA-B243-AF21-10BD101FB610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AA-B243-AF21-10BD101FB61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AA-B243-AF21-10BD101FB61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9AA-B243-AF21-10BD101FB610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AA-B243-AF21-10BD101FB610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9AA-B243-AF21-10BD101FB610}"/>
              </c:ext>
            </c:extLst>
          </c:dPt>
          <c:cat>
            <c:strRef>
              <c:f>'KW 25'!$Y$5:$Y$13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25'!$Z$5:$Z$13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AA-B243-AF21-10BD101FB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B8-F841-B8A0-EF42C893FE69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B8-F841-B8A0-EF42C893FE69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1B8-F841-B8A0-EF42C893FE6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1B8-F841-B8A0-EF42C893FE69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1B8-F841-B8A0-EF42C893FE69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1B8-F841-B8A0-EF42C893FE6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1B8-F841-B8A0-EF42C893FE69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1B8-F841-B8A0-EF42C893FE69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1B8-F841-B8A0-EF42C893FE69}"/>
              </c:ext>
            </c:extLst>
          </c:dPt>
          <c:cat>
            <c:strRef>
              <c:f>'KW 26'!$Y$5:$Y$13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26'!$Z$5:$Z$13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B8-F841-B8A0-EF42C893F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95-CD4B-B185-96BAA6C28290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95-CD4B-B185-96BAA6C28290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95-CD4B-B185-96BAA6C28290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95-CD4B-B185-96BAA6C28290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95-CD4B-B185-96BAA6C2829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95-CD4B-B185-96BAA6C2829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95-CD4B-B185-96BAA6C28290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95-CD4B-B185-96BAA6C28290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195-CD4B-B185-96BAA6C28290}"/>
              </c:ext>
            </c:extLst>
          </c:dPt>
          <c:cat>
            <c:strRef>
              <c:f>'KW 27'!$Y$5:$Y$13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27'!$Z$5:$Z$13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95-CD4B-B185-96BAA6C28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3B1-D844-BB51-9FBA7A8369A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3B1-D844-BB51-9FBA7A8369A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3B1-D844-BB51-9FBA7A8369A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3B1-D844-BB51-9FBA7A8369A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3B1-D844-BB51-9FBA7A8369A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3B1-D844-BB51-9FBA7A8369A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3B1-D844-BB51-9FBA7A8369A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3B1-D844-BB51-9FBA7A8369A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3B1-D844-BB51-9FBA7A8369A8}"/>
              </c:ext>
            </c:extLst>
          </c:dPt>
          <c:cat>
            <c:strRef>
              <c:f>'KW 28'!$Y$5:$Y$13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28'!$Z$5:$Z$13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B1-D844-BB51-9FBA7A836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90-E543-A0C3-A13CF019A46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90-E543-A0C3-A13CF019A46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90-E543-A0C3-A13CF019A46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90-E543-A0C3-A13CF019A46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90-E543-A0C3-A13CF019A46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90-E543-A0C3-A13CF019A46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A90-E543-A0C3-A13CF019A46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A90-E543-A0C3-A13CF019A46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A90-E543-A0C3-A13CF019A468}"/>
              </c:ext>
            </c:extLst>
          </c:dPt>
          <c:cat>
            <c:strRef>
              <c:f>'KW 29'!$Y$5:$Y$13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29'!$Z$5:$Z$13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A90-E543-A0C3-A13CF019A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92-4B4E-950C-B484FA89A059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92-4B4E-950C-B484FA89A059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C92-4B4E-950C-B484FA89A05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C92-4B4E-950C-B484FA89A059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C92-4B4E-950C-B484FA89A059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C92-4B4E-950C-B484FA89A05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C92-4B4E-950C-B484FA89A059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C92-4B4E-950C-B484FA89A059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C92-4B4E-950C-B484FA89A059}"/>
              </c:ext>
            </c:extLst>
          </c:dPt>
          <c:cat>
            <c:strRef>
              <c:f>'KW 30'!$Y$5:$Y$13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30'!$Z$5:$Z$13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C92-4B4E-950C-B484FA89A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AC-E544-A1C0-365C9B5CB5BB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AC-E544-A1C0-365C9B5CB5BB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9AC-E544-A1C0-365C9B5CB5BB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9AC-E544-A1C0-365C9B5CB5BB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9AC-E544-A1C0-365C9B5CB5BB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9AC-E544-A1C0-365C9B5CB5B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9AC-E544-A1C0-365C9B5CB5BB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9AC-E544-A1C0-365C9B5CB5BB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9AC-E544-A1C0-365C9B5CB5BB}"/>
              </c:ext>
            </c:extLst>
          </c:dPt>
          <c:cat>
            <c:strRef>
              <c:f>'KW 31'!$Y$5:$Y$13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AC-E544-A1C0-365C9B5CB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F-6B43-9F29-0B406226DD3D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F-6B43-9F29-0B406226DD3D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F-6B43-9F29-0B406226DD3D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DF-6B43-9F29-0B406226DD3D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DF-6B43-9F29-0B406226DD3D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DF-6B43-9F29-0B406226DD3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BDF-6B43-9F29-0B406226DD3D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BDF-6B43-9F29-0B406226DD3D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BDF-6B43-9F29-0B406226DD3D}"/>
              </c:ext>
            </c:extLst>
          </c:dPt>
          <c:cat>
            <c:strRef>
              <c:f>'KW 32'!$Y$5:$Y$13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DF-6B43-9F29-0B406226D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53-3645-9AEA-990C8E31775C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53-3645-9AEA-990C8E31775C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B53-3645-9AEA-990C8E31775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53-3645-9AEA-990C8E31775C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B53-3645-9AEA-990C8E31775C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B53-3645-9AEA-990C8E31775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B53-3645-9AEA-990C8E31775C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B53-3645-9AEA-990C8E31775C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B53-3645-9AEA-990C8E31775C}"/>
              </c:ext>
            </c:extLst>
          </c:dPt>
          <c:cat>
            <c:strRef>
              <c:f>'KW 33'!$Y$5:$Y$13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53-3645-9AEA-990C8E317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35-934A-BD97-9D5E7FB4A4B3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35-934A-BD97-9D5E7FB4A4B3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35-934A-BD97-9D5E7FB4A4B3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35-934A-BD97-9D5E7FB4A4B3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735-934A-BD97-9D5E7FB4A4B3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735-934A-BD97-9D5E7FB4A4B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735-934A-BD97-9D5E7FB4A4B3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735-934A-BD97-9D5E7FB4A4B3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735-934A-BD97-9D5E7FB4A4B3}"/>
              </c:ext>
            </c:extLst>
          </c:dPt>
          <c:cat>
            <c:strRef>
              <c:f>'KW 34'!$Y$5:$Y$13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34'!$Z$5:$Z$13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735-934A-BD97-9D5E7FB4A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96F-E44C-A698-45BFFE041171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6F-E44C-A698-45BFFE041171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96F-E44C-A698-45BFFE041171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6F-E44C-A698-45BFFE041171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96F-E44C-A698-45BFFE041171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96F-E44C-A698-45BFFE04117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96F-E44C-A698-45BFFE041171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96F-E44C-A698-45BFFE041171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96F-E44C-A698-45BFFE041171}"/>
              </c:ext>
            </c:extLst>
          </c:dPt>
          <c:cat>
            <c:strRef>
              <c:f>'KW 35'!$Y$5:$Y$13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35'!$Z$5:$Z$13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96F-E44C-A698-45BFFE041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78-9249-A78C-882B23A1A13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78-9249-A78C-882B23A1A13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678-9249-A78C-882B23A1A13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678-9249-A78C-882B23A1A13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678-9249-A78C-882B23A1A13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678-9249-A78C-882B23A1A13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678-9249-A78C-882B23A1A13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678-9249-A78C-882B23A1A13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678-9249-A78C-882B23A1A13A}"/>
              </c:ext>
            </c:extLst>
          </c:dPt>
          <c:cat>
            <c:strRef>
              <c:f>'KW 36'!$Y$5:$Y$13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36'!$Z$5:$Z$13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678-9249-A78C-882B23A1A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74-2148-BA27-D60B98868B63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574-2148-BA27-D60B98868B63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574-2148-BA27-D60B98868B63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574-2148-BA27-D60B98868B63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574-2148-BA27-D60B98868B63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574-2148-BA27-D60B98868B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574-2148-BA27-D60B98868B63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574-2148-BA27-D60B98868B63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574-2148-BA27-D60B98868B63}"/>
              </c:ext>
            </c:extLst>
          </c:dPt>
          <c:cat>
            <c:strRef>
              <c:f>'KW 37'!$Y$5:$Y$13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37'!$Z$5:$Z$13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574-2148-BA27-D60B98868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A9-AD46-BA97-35DD3A74F813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A9-AD46-BA97-35DD3A74F813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A9-AD46-BA97-35DD3A74F813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A9-AD46-BA97-35DD3A74F813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A9-AD46-BA97-35DD3A74F813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A9-AD46-BA97-35DD3A74F81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A9-AD46-BA97-35DD3A74F813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A9-AD46-BA97-35DD3A74F813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3A9-AD46-BA97-35DD3A74F813}"/>
              </c:ext>
            </c:extLst>
          </c:dPt>
          <c:cat>
            <c:strRef>
              <c:f>'KW 38'!$Y$5:$Y$13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38'!$Z$5:$Z$13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3A9-AD46-BA97-35DD3A74F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164-B74F-800B-7AC3E629174C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64-B74F-800B-7AC3E629174C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164-B74F-800B-7AC3E629174C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164-B74F-800B-7AC3E629174C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164-B74F-800B-7AC3E629174C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164-B74F-800B-7AC3E629174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164-B74F-800B-7AC3E629174C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164-B74F-800B-7AC3E629174C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164-B74F-800B-7AC3E629174C}"/>
              </c:ext>
            </c:extLst>
          </c:dPt>
          <c:cat>
            <c:strRef>
              <c:f>'KW 39'!$Y$5:$Y$13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39'!$Z$5:$Z$13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164-B74F-800B-7AC3E6291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B6-994D-BBDB-A28263D5A5F1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B6-994D-BBDB-A28263D5A5F1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B6-994D-BBDB-A28263D5A5F1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B6-994D-BBDB-A28263D5A5F1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B6-994D-BBDB-A28263D5A5F1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CB6-994D-BBDB-A28263D5A5F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CB6-994D-BBDB-A28263D5A5F1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CB6-994D-BBDB-A28263D5A5F1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CB6-994D-BBDB-A28263D5A5F1}"/>
              </c:ext>
            </c:extLst>
          </c:dPt>
          <c:cat>
            <c:strRef>
              <c:f>'KW 40'!$Y$5:$Y$13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40'!$Z$5:$Z$13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B6-994D-BBDB-A28263D5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9D-5A40-AB73-8C05CACB681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9D-5A40-AB73-8C05CACB681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9D-5A40-AB73-8C05CACB681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9D-5A40-AB73-8C05CACB681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9D-5A40-AB73-8C05CACB681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9D-5A40-AB73-8C05CACB681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F9D-5A40-AB73-8C05CACB681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F9D-5A40-AB73-8C05CACB681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F9D-5A40-AB73-8C05CACB6814}"/>
              </c:ext>
            </c:extLst>
          </c:dPt>
          <c:cat>
            <c:strRef>
              <c:f>'KW 41'!$Y$5:$Y$13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9D-5A40-AB73-8C05CACB6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8E-4A4E-B6E3-FF8DD45B16A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8E-4A4E-B6E3-FF8DD45B16A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8E-4A4E-B6E3-FF8DD45B16A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88E-4A4E-B6E3-FF8DD45B16A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88E-4A4E-B6E3-FF8DD45B16A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88E-4A4E-B6E3-FF8DD45B16A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88E-4A4E-B6E3-FF8DD45B16A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88E-4A4E-B6E3-FF8DD45B16A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88E-4A4E-B6E3-FF8DD45B16AA}"/>
              </c:ext>
            </c:extLst>
          </c:dPt>
          <c:cat>
            <c:strRef>
              <c:f>'KW 42'!$Y$5:$Y$13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8E-4A4E-B6E3-FF8DD45B1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BB-F947-8CD7-D2BD7818D655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BB-F947-8CD7-D2BD7818D655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BB-F947-8CD7-D2BD7818D655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BB-F947-8CD7-D2BD7818D655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BB-F947-8CD7-D2BD7818D655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BB-F947-8CD7-D2BD7818D65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9BB-F947-8CD7-D2BD7818D655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9BB-F947-8CD7-D2BD7818D655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9BB-F947-8CD7-D2BD7818D655}"/>
              </c:ext>
            </c:extLst>
          </c:dPt>
          <c:cat>
            <c:strRef>
              <c:f>'KW 43'!$Y$5:$Y$13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9BB-F947-8CD7-D2BD7818D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F5-CE45-81F9-4A5FC3E651DD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F5-CE45-81F9-4A5FC3E651DD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F5-CE45-81F9-4A5FC3E651DD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F5-CE45-81F9-4A5FC3E651DD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3F5-CE45-81F9-4A5FC3E651DD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3F5-CE45-81F9-4A5FC3E651D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3F5-CE45-81F9-4A5FC3E651DD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3F5-CE45-81F9-4A5FC3E651DD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3F5-CE45-81F9-4A5FC3E651DD}"/>
              </c:ext>
            </c:extLst>
          </c:dPt>
          <c:cat>
            <c:strRef>
              <c:f>'KW 44'!$Y$5:$Y$13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44'!$Z$5:$Z$13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3F5-CE45-81F9-4A5FC3E65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CF-7546-8C06-3B8CD75A7D98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CF-7546-8C06-3B8CD75A7D98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CF-7546-8C06-3B8CD75A7D98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CF-7546-8C06-3B8CD75A7D98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CF-7546-8C06-3B8CD75A7D98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CF-7546-8C06-3B8CD75A7D9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BCF-7546-8C06-3B8CD75A7D98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BCF-7546-8C06-3B8CD75A7D98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BCF-7546-8C06-3B8CD75A7D98}"/>
              </c:ext>
            </c:extLst>
          </c:dPt>
          <c:cat>
            <c:strRef>
              <c:f>'KW 45'!$Y$5:$Y$13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45'!$Z$5:$Z$13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CF-7546-8C06-3B8CD75A7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3A2-164E-BF51-ECA0E0A1D27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3A2-164E-BF51-ECA0E0A1D27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3A2-164E-BF51-ECA0E0A1D27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3A2-164E-BF51-ECA0E0A1D27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3A2-164E-BF51-ECA0E0A1D27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3A2-164E-BF51-ECA0E0A1D27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3A2-164E-BF51-ECA0E0A1D27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3A2-164E-BF51-ECA0E0A1D27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3A2-164E-BF51-ECA0E0A1D274}"/>
              </c:ext>
            </c:extLst>
          </c:dPt>
          <c:cat>
            <c:strRef>
              <c:f>'KW 46'!$Y$5:$Y$13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46'!$Z$5:$Z$13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A2-164E-BF51-ECA0E0A1D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E5-2E4B-8867-2DD3DDA2104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9E5-2E4B-8867-2DD3DDA2104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9E5-2E4B-8867-2DD3DDA2104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9E5-2E4B-8867-2DD3DDA2104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9E5-2E4B-8867-2DD3DDA2104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9E5-2E4B-8867-2DD3DDA2104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E5-2E4B-8867-2DD3DDA2104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9E5-2E4B-8867-2DD3DDA2104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9E5-2E4B-8867-2DD3DDA21044}"/>
              </c:ext>
            </c:extLst>
          </c:dPt>
          <c:cat>
            <c:strRef>
              <c:f>'KW 47'!$Y$5:$Y$13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47'!$Z$5:$Z$13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9E5-2E4B-8867-2DD3DDA21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AD7-3F4F-A255-292369E176C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AD7-3F4F-A255-292369E176C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D7-3F4F-A255-292369E176C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AD7-3F4F-A255-292369E176C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AD7-3F4F-A255-292369E176C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AD7-3F4F-A255-292369E176C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AD7-3F4F-A255-292369E176C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AD7-3F4F-A255-292369E176C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AD7-3F4F-A255-292369E176CA}"/>
              </c:ext>
            </c:extLst>
          </c:dPt>
          <c:cat>
            <c:strRef>
              <c:f>'KW 48'!$Y$5:$Y$13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48'!$Z$5:$Z$13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AD7-3F4F-A255-292369E17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79-724F-9DFA-C8D58412C031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B79-724F-9DFA-C8D58412C031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B79-724F-9DFA-C8D58412C031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B79-724F-9DFA-C8D58412C031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B79-724F-9DFA-C8D58412C031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B79-724F-9DFA-C8D58412C03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B79-724F-9DFA-C8D58412C031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B79-724F-9DFA-C8D58412C031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B79-724F-9DFA-C8D58412C031}"/>
              </c:ext>
            </c:extLst>
          </c:dPt>
          <c:cat>
            <c:strRef>
              <c:f>'KW 49'!$Y$5:$Y$13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49'!$Z$5:$Z$13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B79-724F-9DFA-C8D58412C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4F-EE44-912B-C49FC09FDCB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4F-EE44-912B-C49FC09FDCB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4F-EE44-912B-C49FC09FD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4F-EE44-912B-C49FC09FDCB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4F-EE44-912B-C49FC09FDCB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4F-EE44-912B-C49FC09FDCB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4F-EE44-912B-C49FC09FDCB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4F-EE44-912B-C49FC09FDCB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D4F-EE44-912B-C49FC09FDCBA}"/>
              </c:ext>
            </c:extLst>
          </c:dPt>
          <c:cat>
            <c:strRef>
              <c:f>'KW 50'!$Y$5:$Y$13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50'!$Z$5:$Z$13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D4F-EE44-912B-C49FC09FD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FB-DF40-8DE8-6F224E1A805A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FB-DF40-8DE8-6F224E1A805A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FB-DF40-8DE8-6F224E1A805A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FB-DF40-8DE8-6F224E1A805A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FB-DF40-8DE8-6F224E1A805A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FB-DF40-8DE8-6F224E1A805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FB-DF40-8DE8-6F224E1A805A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FB-DF40-8DE8-6F224E1A805A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FB-DF40-8DE8-6F224E1A805A}"/>
              </c:ext>
            </c:extLst>
          </c:dPt>
          <c:cat>
            <c:strRef>
              <c:f>'KW 51'!$Y$5:$Y$13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51'!$Z$5:$Z$13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FB-DF40-8DE8-6F224E1A8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68-B648-B10B-156A30162564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68-B648-B10B-156A30162564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A68-B648-B10B-156A30162564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A68-B648-B10B-156A30162564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A68-B648-B10B-156A30162564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A68-B648-B10B-156A3016256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A68-B648-B10B-156A30162564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A68-B648-B10B-156A30162564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A68-B648-B10B-156A30162564}"/>
              </c:ext>
            </c:extLst>
          </c:dPt>
          <c:cat>
            <c:strRef>
              <c:f>'KW 52'!$Y$5:$Y$13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52'!$Z$5:$Z$13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A68-B648-B10B-156A30162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4433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EC-5546-A25E-ADA0DDA15869}"/>
              </c:ext>
            </c:extLst>
          </c:dPt>
          <c:dPt>
            <c:idx val="1"/>
            <c:invertIfNegative val="0"/>
            <c:bubble3D val="0"/>
            <c:spPr>
              <a:solidFill>
                <a:srgbClr val="9C27B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EC-5546-A25E-ADA0DDA15869}"/>
              </c:ext>
            </c:extLst>
          </c:dPt>
          <c:dPt>
            <c:idx val="2"/>
            <c:invertIfNegative val="0"/>
            <c:bubble3D val="0"/>
            <c:spPr>
              <a:solidFill>
                <a:srgbClr val="3F51B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EC-5546-A25E-ADA0DDA1586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EC-5546-A25E-ADA0DDA15869}"/>
              </c:ext>
            </c:extLst>
          </c:dPt>
          <c:dPt>
            <c:idx val="4"/>
            <c:invertIfNegative val="0"/>
            <c:bubble3D val="0"/>
            <c:spPr>
              <a:solidFill>
                <a:srgbClr val="00968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EC-5546-A25E-ADA0DDA15869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EC-5546-A25E-ADA0DDA1586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EC-5546-A25E-ADA0DDA15869}"/>
              </c:ext>
            </c:extLst>
          </c:dPt>
          <c:dPt>
            <c:idx val="7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EC-5546-A25E-ADA0DDA15869}"/>
              </c:ext>
            </c:extLst>
          </c:dPt>
          <c:dPt>
            <c:idx val="8"/>
            <c:invertIfNegative val="0"/>
            <c:bubble3D val="0"/>
            <c:spPr>
              <a:solidFill>
                <a:srgbClr val="79554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EC-5546-A25E-ADA0DDA15869}"/>
              </c:ext>
            </c:extLst>
          </c:dPt>
          <c:cat>
            <c:strRef>
              <c:f>'KW 53'!$Y$5:$Y$13</c:f>
              <c:strCache>
                <c:ptCount val="9"/>
                <c:pt idx="0">
                  <c:v>Kategorie A</c:v>
                </c:pt>
                <c:pt idx="1">
                  <c:v>Kategorie B</c:v>
                </c:pt>
                <c:pt idx="2">
                  <c:v>Kategorie C</c:v>
                </c:pt>
                <c:pt idx="3">
                  <c:v>Kategorie D</c:v>
                </c:pt>
                <c:pt idx="4">
                  <c:v>Kategorie E</c:v>
                </c:pt>
                <c:pt idx="5">
                  <c:v>Kategorie F</c:v>
                </c:pt>
                <c:pt idx="6">
                  <c:v>Kategorie G</c:v>
                </c:pt>
                <c:pt idx="7">
                  <c:v>Kategorie H</c:v>
                </c:pt>
                <c:pt idx="8">
                  <c:v>Kategorie I</c:v>
                </c:pt>
              </c:strCache>
            </c:strRef>
          </c:cat>
          <c:val>
            <c:numRef>
              <c:f>'KW 53'!$Z$5:$Z$13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AEC-5546-A25E-ADA0DDA15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356287"/>
        <c:axId val="1804670863"/>
      </c:barChart>
      <c:catAx>
        <c:axId val="193735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scadia Code" panose="020B0609020000020004" pitchFamily="49" charset="0"/>
                <a:ea typeface="Cascadia Code" panose="020B0609020000020004" pitchFamily="49" charset="0"/>
                <a:cs typeface="Cascadia Code" panose="020B0609020000020004" pitchFamily="49" charset="0"/>
              </a:defRPr>
            </a:pPr>
            <a:endParaRPr lang="de-DE"/>
          </a:p>
        </c:txPr>
        <c:crossAx val="1804670863"/>
        <c:crosses val="autoZero"/>
        <c:auto val="1"/>
        <c:lblAlgn val="ctr"/>
        <c:lblOffset val="100"/>
        <c:noMultiLvlLbl val="0"/>
      </c:catAx>
      <c:valAx>
        <c:axId val="180467086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37356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583746</xdr:colOff>
      <xdr:row>7</xdr:row>
      <xdr:rowOff>131307</xdr:rowOff>
    </xdr:from>
    <xdr:to>
      <xdr:col>8</xdr:col>
      <xdr:colOff>190500</xdr:colOff>
      <xdr:row>23</xdr:row>
      <xdr:rowOff>209550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700087</xdr:colOff>
      <xdr:row>7</xdr:row>
      <xdr:rowOff>209549</xdr:rowOff>
    </xdr:from>
    <xdr:to>
      <xdr:col>13</xdr:col>
      <xdr:colOff>28575</xdr:colOff>
      <xdr:row>21</xdr:row>
      <xdr:rowOff>123824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336550</xdr:colOff>
      <xdr:row>13</xdr:row>
      <xdr:rowOff>165100</xdr:rowOff>
    </xdr:from>
    <xdr:to>
      <xdr:col>26</xdr:col>
      <xdr:colOff>577850</xdr:colOff>
      <xdr:row>16</xdr:row>
      <xdr:rowOff>0</xdr:rowOff>
    </xdr:to>
    <xdr:sp macro="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0000000-0008-0000-0000-000006000000}"/>
            </a:ext>
            <a:ext uri="{6ECC49D1-AA05-4338-93AA-15A1B29DFB0A}">
              <asl:scriptLink xmlns:asl="http://schemas.microsoft.com/office/drawing/2021/scriptlink" val="{&quot;shareId&quot;:&quot;ms-officescript%3A%2F%2Fsharepoint_sharinglink%2Fu!aHR0cHM6Ly9raWRzdGVhbS5zaGFyZXBvaW50LmNvbS86dTovcy9taXRhcmJlaXRlci9FWjI4SzZOcUJmWkJrV1dTMFFhd0FwSUJ0NWxmNHl0dlZQbEx0VXRpLTJmT2dR&quot;}"/>
            </a:ext>
          </a:extLst>
        </xdr:cNvPr>
        <xdr:cNvSpPr/>
      </xdr:nvSpPr>
      <xdr:spPr>
        <a:xfrm>
          <a:off x="18434050" y="2927350"/>
          <a:ext cx="1739900" cy="4445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b="1">
              <a:solidFill>
                <a:srgbClr val="C00000"/>
              </a:solidFill>
              <a:latin typeface="Cascadia Code" panose="020B0609020000020004" pitchFamily="49" charset="0"/>
              <a:ea typeface="Cascadia Code" panose="020B0609020000020004" pitchFamily="49" charset="0"/>
              <a:cs typeface="Cascadia Code" panose="020B0609020000020004" pitchFamily="49" charset="0"/>
            </a:rPr>
            <a:t>Jahr generieren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94D7BEC-3F47-5103-F632-A848C2A81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928760-3A43-4443-9DB2-7ADF67CC8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E5020A-2C91-AD4F-9D6F-3C0276FC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3CC361B-848F-A941-AB99-F108834F8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374F456-F7EE-2747-8633-91448A3FD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B29A43D-9AC3-264D-AEE5-939888C58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6E745DA-8ABC-FA44-9E8E-FF6361871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E135D1E-23EF-6640-A7F7-D28C746ECD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A870136-E606-524D-BBBC-2427E64D6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4804C6-CF73-F64A-8B54-0991432F0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A605B9A-56D3-BC4F-9DD2-4EBD6BBA8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CF74403-5E04-5047-A194-40B272027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742531A-35C4-4340-8367-3D0B85796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EB6B7D4-0ADA-DE41-8725-5B0E00B6B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8D719C4-BC57-F14F-9C12-E80FC4EE1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404280E-AFB8-B64D-9FE3-9B4D75369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153516C-1828-C541-B1B6-4E922215F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B2765AC-44D7-DD40-BE06-147CD8D27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D284D35-5218-EC46-8A2D-18472E1B4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8388EE-25B9-D743-9D04-71C0EE644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FEF65A8-7C6D-A34B-8A96-990D0A6A3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1DE05D2-E5D3-9549-A7BE-F5BF720C5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50E4174-D0B2-D343-AB50-9154C9DBB5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E81A663-95C9-6C4F-AE51-C268C7F9A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9D0C6EA-6B1D-8245-B42C-42D6DB216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C78EB53-14A9-794C-9369-3DDF644E3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BE52D7D-BC53-BA48-BBE5-12FACA843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966597C-8F74-9944-8098-350714B0A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827BA6C-ADC7-6344-80CC-F4B3BCFFD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C8CD6AB-8D9E-7F48-826C-17951B978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779805E-04C2-054D-AFBE-203203BA1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EFB9B52-D1D6-9D49-811E-E73AD242C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8F4379E-8729-654E-80FA-326DDBE21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ADF8A26-0DDD-6741-8EE8-0DDFB3160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CD32097-0F50-F045-A27F-0F1D366784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C0B0B5E-CF8F-8A4E-B4DC-9979CA35B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E6BC7E1-1024-D44A-858C-82AEA845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BEB5A03-ED17-DF41-A60D-3260EE0F2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2DBA0D0-E0C0-C84A-B68B-E7A078FC7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DF0F639-35B0-3246-85F4-A92C28A73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59EB9D3-D07D-DB43-8C17-C8CE5EEC2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35E027-3D85-C046-AD6A-E6E7B3FE8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8AE0D5D-8A2F-5646-93B5-273E815C5F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D0E5E27-FE39-BF46-AD62-AAFC591A9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252FCA0-5924-AD4B-8E12-BA1735E46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69FAFE6-8710-DC48-8C3C-EBC5D411E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1B0E19A-13A0-BA48-92A0-76AD2802F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378851A-A1CB-544D-8EE0-C69DE8B98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6D2E1C3-DF09-7D47-BC34-BD62A13F4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58DBD76-50F1-154E-8250-DE1BDEA96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6143702-58D7-F248-8C30-4B54788EC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5710908-C77E-594A-AAB5-6D985AFD4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351064</xdr:colOff>
      <xdr:row>19</xdr:row>
      <xdr:rowOff>150358</xdr:rowOff>
    </xdr:from>
    <xdr:to>
      <xdr:col>26</xdr:col>
      <xdr:colOff>126545</xdr:colOff>
      <xdr:row>34</xdr:row>
      <xdr:rowOff>161925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203B373-E022-7447-838E-FF2D78EA4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tabColor theme="8" tint="0.59999389629810485"/>
  </sheetPr>
  <dimension ref="A1:AJ92"/>
  <sheetViews>
    <sheetView tabSelected="1" topLeftCell="E1" workbookViewId="0">
      <selection activeCell="B30" sqref="B30"/>
    </sheetView>
  </sheetViews>
  <sheetFormatPr baseColWidth="10" defaultColWidth="10.6640625" defaultRowHeight="14"/>
  <cols>
    <col min="1" max="12" width="10.6640625" style="32"/>
    <col min="13" max="13" width="7.33203125" style="32" customWidth="1"/>
    <col min="14" max="16" width="10.6640625" style="32"/>
    <col min="17" max="17" width="16" style="32" customWidth="1"/>
    <col min="18" max="18" width="7.83203125" style="32" customWidth="1"/>
    <col min="19" max="21" width="10.6640625" style="32"/>
    <col min="22" max="22" width="13.5" style="32" bestFit="1" customWidth="1"/>
    <col min="23" max="24" width="10.6640625" style="32"/>
    <col min="25" max="25" width="4.83203125" style="32" customWidth="1"/>
    <col min="26" max="16384" width="10.6640625" style="32"/>
  </cols>
  <sheetData>
    <row r="1" spans="1:36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6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I2" s="38" t="s">
        <v>11</v>
      </c>
      <c r="AJ2" s="38">
        <f>'KW 1'!V35</f>
        <v>0</v>
      </c>
    </row>
    <row r="3" spans="1:36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I3" s="38" t="s">
        <v>12</v>
      </c>
      <c r="AJ3" s="38" t="e">
        <f>#REF!</f>
        <v>#REF!</v>
      </c>
    </row>
    <row r="4" spans="1:36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I4" s="38" t="s">
        <v>13</v>
      </c>
      <c r="AJ4" s="38" t="e">
        <f>#REF!</f>
        <v>#REF!</v>
      </c>
    </row>
    <row r="5" spans="1:36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115"/>
      <c r="P5" s="115"/>
      <c r="Q5" s="115"/>
      <c r="R5" s="115"/>
      <c r="S5" s="115"/>
      <c r="T5" s="31"/>
      <c r="U5" s="31"/>
      <c r="V5" s="31"/>
      <c r="W5" s="31"/>
      <c r="X5" s="31"/>
      <c r="Y5" s="34"/>
      <c r="Z5" s="34"/>
      <c r="AA5" s="34"/>
      <c r="AB5" s="34"/>
      <c r="AC5" s="34"/>
      <c r="AD5" s="34"/>
      <c r="AE5" s="34"/>
      <c r="AF5" s="31"/>
      <c r="AI5" s="38" t="s">
        <v>14</v>
      </c>
      <c r="AJ5" s="38" t="e">
        <f>#REF!</f>
        <v>#REF!</v>
      </c>
    </row>
    <row r="6" spans="1:36" ht="23">
      <c r="A6" s="31"/>
      <c r="B6" s="31"/>
      <c r="C6" s="35" t="s">
        <v>105</v>
      </c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115"/>
      <c r="P6" s="118" t="s">
        <v>64</v>
      </c>
      <c r="Q6" s="115"/>
      <c r="R6" s="115"/>
      <c r="S6" s="115"/>
      <c r="T6" s="31"/>
      <c r="U6" s="35"/>
      <c r="V6" s="31"/>
      <c r="W6" s="31"/>
      <c r="X6" s="31"/>
      <c r="Y6" s="34"/>
      <c r="Z6" s="36"/>
      <c r="AA6" s="37"/>
      <c r="AB6" s="34"/>
      <c r="AC6" s="34"/>
      <c r="AD6" s="34"/>
      <c r="AE6" s="34"/>
      <c r="AF6" s="31"/>
      <c r="AI6" s="38" t="s">
        <v>15</v>
      </c>
      <c r="AJ6" s="38" t="e">
        <f>#REF!</f>
        <v>#REF!</v>
      </c>
    </row>
    <row r="7" spans="1:36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115"/>
      <c r="P7" s="115"/>
      <c r="Q7" s="115"/>
      <c r="R7" s="115"/>
      <c r="S7" s="115"/>
      <c r="T7" s="60"/>
      <c r="U7" s="60"/>
      <c r="V7" s="60"/>
      <c r="W7" s="60"/>
      <c r="X7" s="60"/>
      <c r="Y7" s="34"/>
      <c r="Z7" s="34"/>
      <c r="AA7" s="34"/>
      <c r="AB7" s="34"/>
      <c r="AC7" s="34"/>
      <c r="AD7" s="34"/>
      <c r="AE7" s="34"/>
      <c r="AF7" s="38"/>
      <c r="AI7" s="38" t="s">
        <v>16</v>
      </c>
      <c r="AJ7" s="38" t="e">
        <f>#REF!</f>
        <v>#REF!</v>
      </c>
    </row>
    <row r="8" spans="1:36" ht="1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115"/>
      <c r="P8" s="115" t="s">
        <v>63</v>
      </c>
      <c r="Q8" s="115"/>
      <c r="R8" s="115" t="s">
        <v>76</v>
      </c>
      <c r="S8" s="115"/>
      <c r="T8" s="60"/>
      <c r="U8" s="60"/>
      <c r="V8" s="60"/>
      <c r="W8" s="60"/>
      <c r="X8" s="60"/>
      <c r="Y8" s="34"/>
      <c r="Z8" s="39" t="s">
        <v>83</v>
      </c>
      <c r="AA8" s="34"/>
      <c r="AB8" s="34"/>
      <c r="AC8" s="34"/>
      <c r="AD8" s="34"/>
      <c r="AE8" s="34"/>
      <c r="AF8" s="38"/>
      <c r="AI8" s="38" t="s">
        <v>17</v>
      </c>
      <c r="AJ8" s="38" t="e">
        <f>#REF!</f>
        <v>#REF!</v>
      </c>
    </row>
    <row r="9" spans="1:36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115"/>
      <c r="P9" s="115"/>
      <c r="Q9" s="115"/>
      <c r="R9" s="115"/>
      <c r="S9" s="115"/>
      <c r="T9" s="60"/>
      <c r="U9" s="60"/>
      <c r="V9" s="60"/>
      <c r="W9" s="60"/>
      <c r="X9" s="60"/>
      <c r="Y9" s="34"/>
      <c r="Z9" s="34"/>
      <c r="AA9" s="34"/>
      <c r="AB9" s="34"/>
      <c r="AC9" s="34"/>
      <c r="AD9" s="34"/>
      <c r="AE9" s="34"/>
      <c r="AF9" s="38"/>
      <c r="AI9" s="38" t="s">
        <v>18</v>
      </c>
      <c r="AJ9" s="38" t="e">
        <f>#REF!</f>
        <v>#REF!</v>
      </c>
    </row>
    <row r="10" spans="1:36" ht="1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115"/>
      <c r="P10" s="40">
        <v>1</v>
      </c>
      <c r="Q10" s="41" t="s">
        <v>107</v>
      </c>
      <c r="R10" s="163">
        <f>SUM(C29:C40)</f>
        <v>0</v>
      </c>
      <c r="S10" s="164"/>
      <c r="T10" s="60"/>
      <c r="U10" s="60"/>
      <c r="V10" s="60"/>
      <c r="W10" s="60"/>
      <c r="X10" s="60"/>
      <c r="Y10" s="34"/>
      <c r="Z10" s="34"/>
      <c r="AA10" s="34"/>
      <c r="AB10" s="34"/>
      <c r="AC10" s="34"/>
      <c r="AD10" s="34"/>
      <c r="AE10" s="34"/>
      <c r="AF10" s="38"/>
      <c r="AI10" s="38" t="s">
        <v>19</v>
      </c>
      <c r="AJ10" s="38" t="e">
        <f>#REF!</f>
        <v>#REF!</v>
      </c>
    </row>
    <row r="11" spans="1:36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115"/>
      <c r="P11" s="115"/>
      <c r="Q11" s="119"/>
      <c r="R11" s="115"/>
      <c r="S11" s="115"/>
      <c r="T11" s="60"/>
      <c r="U11" s="60"/>
      <c r="V11" s="60"/>
      <c r="W11" s="60"/>
      <c r="X11" s="60"/>
      <c r="Y11" s="34"/>
      <c r="Z11" s="34"/>
      <c r="AA11" s="34"/>
      <c r="AB11" s="34"/>
      <c r="AC11" s="34"/>
      <c r="AD11" s="34"/>
      <c r="AE11" s="34"/>
      <c r="AF11" s="38"/>
      <c r="AI11" s="38" t="s">
        <v>20</v>
      </c>
      <c r="AJ11" s="38" t="e">
        <f>#REF!</f>
        <v>#REF!</v>
      </c>
    </row>
    <row r="12" spans="1:36" ht="1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115"/>
      <c r="P12" s="42">
        <v>2</v>
      </c>
      <c r="Q12" s="43" t="s">
        <v>108</v>
      </c>
      <c r="R12" s="163">
        <f>SUM(D29:D40)</f>
        <v>0</v>
      </c>
      <c r="S12" s="165"/>
      <c r="T12" s="60"/>
      <c r="U12" s="60"/>
      <c r="V12" s="60"/>
      <c r="W12" s="60"/>
      <c r="X12" s="60"/>
      <c r="Y12" s="34"/>
      <c r="Z12" s="34"/>
      <c r="AA12" s="34"/>
      <c r="AB12" s="34"/>
      <c r="AC12" s="34"/>
      <c r="AD12" s="34"/>
      <c r="AE12" s="34"/>
      <c r="AF12" s="38"/>
      <c r="AI12" s="38" t="s">
        <v>21</v>
      </c>
      <c r="AJ12" s="38" t="e">
        <f>#REF!</f>
        <v>#REF!</v>
      </c>
    </row>
    <row r="13" spans="1:36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115"/>
      <c r="P13" s="115"/>
      <c r="Q13" s="119"/>
      <c r="R13" s="115"/>
      <c r="S13" s="115"/>
      <c r="T13" s="60"/>
      <c r="U13" s="60"/>
      <c r="V13" s="60"/>
      <c r="W13" s="60"/>
      <c r="X13" s="60"/>
      <c r="Y13" s="34"/>
      <c r="Z13" s="34"/>
      <c r="AA13" s="34"/>
      <c r="AB13" s="34"/>
      <c r="AC13" s="34"/>
      <c r="AD13" s="34"/>
      <c r="AE13" s="34"/>
      <c r="AF13" s="38"/>
      <c r="AI13" s="38" t="s">
        <v>22</v>
      </c>
      <c r="AJ13" s="38" t="e">
        <f>#REF!</f>
        <v>#REF!</v>
      </c>
    </row>
    <row r="14" spans="1:36" ht="1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115"/>
      <c r="P14" s="44">
        <v>3</v>
      </c>
      <c r="Q14" s="43" t="s">
        <v>109</v>
      </c>
      <c r="R14" s="163">
        <f>SUM(E29:E40)</f>
        <v>0</v>
      </c>
      <c r="S14" s="165"/>
      <c r="T14" s="60"/>
      <c r="U14" s="60"/>
      <c r="V14" s="60"/>
      <c r="W14" s="60"/>
      <c r="X14" s="60"/>
      <c r="Y14" s="34"/>
      <c r="Z14" s="34"/>
      <c r="AA14" s="34"/>
      <c r="AB14" s="34"/>
      <c r="AC14" s="34"/>
      <c r="AD14" s="34"/>
      <c r="AE14" s="34"/>
      <c r="AF14" s="38"/>
      <c r="AI14" s="38" t="s">
        <v>23</v>
      </c>
      <c r="AJ14" s="38" t="e">
        <f>#REF!</f>
        <v>#REF!</v>
      </c>
    </row>
    <row r="15" spans="1:36" ht="1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115"/>
      <c r="P15" s="115"/>
      <c r="Q15" s="119"/>
      <c r="R15" s="116"/>
      <c r="S15" s="115"/>
      <c r="T15" s="60"/>
      <c r="U15" s="60"/>
      <c r="V15" s="60"/>
      <c r="W15" s="60"/>
      <c r="X15" s="60"/>
      <c r="Y15" s="34"/>
      <c r="Z15" s="34"/>
      <c r="AA15" s="34"/>
      <c r="AB15" s="55" t="s">
        <v>87</v>
      </c>
      <c r="AC15" s="34"/>
      <c r="AD15" s="34"/>
      <c r="AE15" s="34"/>
      <c r="AF15" s="38"/>
      <c r="AI15" s="38" t="s">
        <v>24</v>
      </c>
      <c r="AJ15" s="38" t="e">
        <f>#REF!</f>
        <v>#REF!</v>
      </c>
    </row>
    <row r="16" spans="1:36" ht="1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115"/>
      <c r="P16" s="45">
        <v>4</v>
      </c>
      <c r="Q16" s="43" t="s">
        <v>110</v>
      </c>
      <c r="R16" s="163">
        <f>SUM(F29:F40)</f>
        <v>0</v>
      </c>
      <c r="S16" s="165"/>
      <c r="T16" s="60"/>
      <c r="U16" s="60"/>
      <c r="V16" s="60"/>
      <c r="W16" s="60"/>
      <c r="X16" s="60"/>
      <c r="Y16" s="34"/>
      <c r="Z16" s="34"/>
      <c r="AA16" s="34"/>
      <c r="AB16" s="34"/>
      <c r="AC16" s="34"/>
      <c r="AD16" s="34"/>
      <c r="AE16" s="34"/>
      <c r="AF16" s="38"/>
      <c r="AI16" s="38" t="s">
        <v>25</v>
      </c>
      <c r="AJ16" s="38" t="e">
        <f>#REF!</f>
        <v>#REF!</v>
      </c>
    </row>
    <row r="17" spans="1:36" ht="1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115"/>
      <c r="P17" s="115"/>
      <c r="Q17" s="119"/>
      <c r="R17" s="116"/>
      <c r="S17" s="115"/>
      <c r="T17" s="60"/>
      <c r="U17" s="60"/>
      <c r="V17" s="60"/>
      <c r="W17" s="60"/>
      <c r="X17" s="60"/>
      <c r="Y17" s="34"/>
      <c r="Z17" s="34"/>
      <c r="AA17" s="34"/>
      <c r="AB17" s="34"/>
      <c r="AC17" s="34"/>
      <c r="AD17" s="34"/>
      <c r="AE17" s="34"/>
      <c r="AF17" s="38"/>
      <c r="AI17" s="38" t="s">
        <v>26</v>
      </c>
      <c r="AJ17" s="38" t="e">
        <f>#REF!</f>
        <v>#REF!</v>
      </c>
    </row>
    <row r="18" spans="1:36" ht="1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115"/>
      <c r="P18" s="46">
        <v>5</v>
      </c>
      <c r="Q18" s="43" t="s">
        <v>111</v>
      </c>
      <c r="R18" s="163">
        <f>SUM(G29:G40)</f>
        <v>0</v>
      </c>
      <c r="S18" s="165"/>
      <c r="T18" s="60"/>
      <c r="U18" s="60"/>
      <c r="V18" s="60"/>
      <c r="W18" s="60"/>
      <c r="X18" s="60"/>
      <c r="Y18" s="34"/>
      <c r="Z18" s="34"/>
      <c r="AA18" s="34"/>
      <c r="AB18" s="34"/>
      <c r="AC18" s="34"/>
      <c r="AD18" s="34"/>
      <c r="AE18" s="34"/>
      <c r="AF18" s="38"/>
      <c r="AI18" s="38" t="s">
        <v>27</v>
      </c>
      <c r="AJ18" s="38" t="e">
        <f>#REF!</f>
        <v>#REF!</v>
      </c>
    </row>
    <row r="19" spans="1:36" ht="1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115"/>
      <c r="P19" s="115"/>
      <c r="Q19" s="119"/>
      <c r="R19" s="116"/>
      <c r="S19" s="115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38"/>
      <c r="AE19" s="38"/>
      <c r="AF19" s="38"/>
      <c r="AI19" s="38" t="s">
        <v>28</v>
      </c>
      <c r="AJ19" s="38" t="e">
        <f>#REF!</f>
        <v>#REF!</v>
      </c>
    </row>
    <row r="20" spans="1:36" ht="1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115"/>
      <c r="P20" s="47">
        <v>6</v>
      </c>
      <c r="Q20" s="43" t="s">
        <v>112</v>
      </c>
      <c r="R20" s="163">
        <f>SUM(H29:H40)</f>
        <v>0</v>
      </c>
      <c r="S20" s="165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38"/>
      <c r="AE20" s="38"/>
      <c r="AF20" s="38"/>
      <c r="AI20" s="38" t="s">
        <v>29</v>
      </c>
      <c r="AJ20" s="38" t="e">
        <f>#REF!</f>
        <v>#REF!</v>
      </c>
    </row>
    <row r="21" spans="1:36" ht="1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115"/>
      <c r="P21" s="117"/>
      <c r="Q21" s="120"/>
      <c r="R21" s="116"/>
      <c r="S21" s="115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38"/>
      <c r="AE21" s="38"/>
      <c r="AF21" s="38"/>
      <c r="AI21" s="38" t="s">
        <v>30</v>
      </c>
      <c r="AJ21" s="38" t="e">
        <f>#REF!</f>
        <v>#REF!</v>
      </c>
    </row>
    <row r="22" spans="1:36" ht="1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115"/>
      <c r="P22" s="48">
        <v>7</v>
      </c>
      <c r="Q22" s="43" t="s">
        <v>113</v>
      </c>
      <c r="R22" s="163">
        <f>SUM(I29:I40)</f>
        <v>0</v>
      </c>
      <c r="S22" s="165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38"/>
      <c r="AE22" s="38"/>
      <c r="AF22" s="38"/>
      <c r="AI22" s="38" t="s">
        <v>31</v>
      </c>
      <c r="AJ22" s="38" t="e">
        <f>#REF!</f>
        <v>#REF!</v>
      </c>
    </row>
    <row r="23" spans="1:36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115"/>
      <c r="P23" s="115"/>
      <c r="Q23" s="119"/>
      <c r="R23" s="115"/>
      <c r="S23" s="115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38"/>
      <c r="AE23" s="38"/>
      <c r="AF23" s="38"/>
      <c r="AI23" s="38" t="s">
        <v>32</v>
      </c>
      <c r="AJ23" s="38" t="e">
        <f>#REF!</f>
        <v>#REF!</v>
      </c>
    </row>
    <row r="24" spans="1:36" ht="17.5" customHeight="1">
      <c r="A24" s="60"/>
      <c r="B24" s="60"/>
      <c r="C24" s="60"/>
      <c r="D24" s="60"/>
      <c r="E24" s="60"/>
      <c r="F24" s="60"/>
      <c r="G24" s="60"/>
      <c r="H24" s="60"/>
      <c r="I24" s="60"/>
      <c r="J24" s="111" t="s">
        <v>82</v>
      </c>
      <c r="K24" s="112"/>
      <c r="L24" s="112"/>
      <c r="M24" s="113">
        <f>SUM('KW 1'!Z19)/R29*7</f>
        <v>0</v>
      </c>
      <c r="N24" s="60"/>
      <c r="O24" s="115"/>
      <c r="P24" s="49">
        <v>8</v>
      </c>
      <c r="Q24" s="43" t="s">
        <v>114</v>
      </c>
      <c r="R24" s="163">
        <f>SUM(J29:J40)</f>
        <v>0</v>
      </c>
      <c r="S24" s="165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38"/>
      <c r="AE24" s="38"/>
      <c r="AF24" s="38"/>
      <c r="AI24" s="38" t="s">
        <v>33</v>
      </c>
      <c r="AJ24" s="38" t="e">
        <f>#REF!</f>
        <v>#REF!</v>
      </c>
    </row>
    <row r="25" spans="1:36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115"/>
      <c r="P25" s="115"/>
      <c r="Q25" s="119"/>
      <c r="R25" s="115"/>
      <c r="S25" s="115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38"/>
      <c r="AE25" s="38"/>
      <c r="AF25" s="38"/>
      <c r="AI25" s="38" t="s">
        <v>34</v>
      </c>
      <c r="AJ25" s="38" t="e">
        <f>#REF!</f>
        <v>#REF!</v>
      </c>
    </row>
    <row r="26" spans="1:36" ht="18" customHeight="1">
      <c r="A26" s="60"/>
      <c r="B26" s="131" t="s">
        <v>104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115"/>
      <c r="P26" s="50">
        <v>9</v>
      </c>
      <c r="Q26" s="43" t="s">
        <v>115</v>
      </c>
      <c r="R26" s="163">
        <f>SUM(K29:K40)</f>
        <v>0</v>
      </c>
      <c r="S26" s="165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38"/>
      <c r="AE26" s="38"/>
      <c r="AF26" s="38"/>
      <c r="AI26" s="38" t="s">
        <v>35</v>
      </c>
      <c r="AJ26" s="38" t="e">
        <f>#REF!</f>
        <v>#REF!</v>
      </c>
    </row>
    <row r="27" spans="1:36" ht="34.75" customHeight="1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115"/>
      <c r="P27" s="115" t="s">
        <v>65</v>
      </c>
      <c r="Q27" s="115"/>
      <c r="R27" s="115" t="s">
        <v>6</v>
      </c>
      <c r="S27" s="115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38"/>
      <c r="AE27" s="38"/>
      <c r="AF27" s="38"/>
      <c r="AI27" s="38" t="s">
        <v>36</v>
      </c>
      <c r="AJ27" s="38" t="e">
        <f>#REF!</f>
        <v>#REF!</v>
      </c>
    </row>
    <row r="28" spans="1:36">
      <c r="A28" s="60"/>
      <c r="B28" s="60"/>
      <c r="C28" s="19" t="str">
        <f>Q10</f>
        <v>Kategorie A</v>
      </c>
      <c r="D28" s="20" t="str">
        <f>Q12</f>
        <v>Kategorie B</v>
      </c>
      <c r="E28" s="21" t="str">
        <f>Q14</f>
        <v>Kategorie C</v>
      </c>
      <c r="F28" s="122" t="str">
        <f>Q16</f>
        <v>Kategorie D</v>
      </c>
      <c r="G28" s="23" t="str">
        <f>Q18</f>
        <v>Kategorie E</v>
      </c>
      <c r="H28" s="123" t="str">
        <f>Q20</f>
        <v>Kategorie F</v>
      </c>
      <c r="I28" s="124" t="str">
        <f>Q22</f>
        <v>Kategorie G</v>
      </c>
      <c r="J28" s="125" t="str">
        <f>Q24</f>
        <v>Kategorie H</v>
      </c>
      <c r="K28" s="29" t="str">
        <f>Q26</f>
        <v>Kategorie I</v>
      </c>
      <c r="L28" s="60"/>
      <c r="M28" s="60"/>
      <c r="N28" s="60"/>
      <c r="O28" s="115"/>
      <c r="P28" s="115"/>
      <c r="Q28" s="115"/>
      <c r="R28" s="115"/>
      <c r="S28" s="115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38"/>
      <c r="AE28" s="38"/>
      <c r="AF28" s="38"/>
      <c r="AI28" s="38" t="s">
        <v>37</v>
      </c>
      <c r="AJ28" s="38" t="e">
        <f>#REF!</f>
        <v>#REF!</v>
      </c>
    </row>
    <row r="29" spans="1:36">
      <c r="A29" s="60"/>
      <c r="B29" s="121" t="s">
        <v>91</v>
      </c>
      <c r="C29" s="129">
        <f>SUM(Rechenblatt!E2:E32)</f>
        <v>0</v>
      </c>
      <c r="D29" s="129">
        <f>SUM(Rechenblatt!F2:F32)</f>
        <v>0</v>
      </c>
      <c r="E29" s="129">
        <f>SUM(Rechenblatt!G2:G32)</f>
        <v>0</v>
      </c>
      <c r="F29" s="129">
        <f>SUM(Rechenblatt!H2:H32)</f>
        <v>0</v>
      </c>
      <c r="G29" s="129">
        <f>SUM(Rechenblatt!I2:I32)</f>
        <v>0</v>
      </c>
      <c r="H29" s="129">
        <f>SUM(Rechenblatt!J2:J32)</f>
        <v>0</v>
      </c>
      <c r="I29" s="129">
        <f>SUM(Rechenblatt!K2:K32)</f>
        <v>0</v>
      </c>
      <c r="J29" s="129">
        <f>SUM(Rechenblatt!L2:L32)</f>
        <v>0</v>
      </c>
      <c r="K29" s="129">
        <f>SUM(Rechenblatt!M2:M32)</f>
        <v>0</v>
      </c>
      <c r="L29" s="60"/>
      <c r="M29" s="60"/>
      <c r="N29" s="60"/>
      <c r="O29" s="115"/>
      <c r="P29" s="51">
        <v>2024</v>
      </c>
      <c r="Q29" s="115"/>
      <c r="R29" s="52">
        <v>40</v>
      </c>
      <c r="S29" s="115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38"/>
      <c r="AE29" s="38"/>
      <c r="AF29" s="38"/>
      <c r="AI29" s="38" t="s">
        <v>38</v>
      </c>
      <c r="AJ29" s="38" t="e">
        <f>#REF!</f>
        <v>#REF!</v>
      </c>
    </row>
    <row r="30" spans="1:36">
      <c r="A30" s="60"/>
      <c r="B30" s="126" t="s">
        <v>92</v>
      </c>
      <c r="C30" s="132">
        <f>SUM(Rechenblatt!E33:E61)</f>
        <v>0</v>
      </c>
      <c r="D30" s="132">
        <f>SUM(Rechenblatt!F33:F61)</f>
        <v>0</v>
      </c>
      <c r="E30" s="132">
        <f>SUM(Rechenblatt!G33:G61)</f>
        <v>0</v>
      </c>
      <c r="F30" s="132">
        <f>SUM(Rechenblatt!H33:H61)</f>
        <v>0</v>
      </c>
      <c r="G30" s="132">
        <f>SUM(Rechenblatt!I33:I61)</f>
        <v>0</v>
      </c>
      <c r="H30" s="132">
        <f>SUM(Rechenblatt!J33:J61)</f>
        <v>0</v>
      </c>
      <c r="I30" s="132">
        <f>SUM(Rechenblatt!K33:K61)</f>
        <v>0</v>
      </c>
      <c r="J30" s="132">
        <f>SUM(Rechenblatt!L33:L61)</f>
        <v>0</v>
      </c>
      <c r="K30" s="132">
        <f>SUM(Rechenblatt!M33:M61)</f>
        <v>0</v>
      </c>
      <c r="L30" s="60"/>
      <c r="M30" s="60"/>
      <c r="N30" s="60"/>
      <c r="O30" s="115"/>
      <c r="P30" s="115"/>
      <c r="Q30" s="115"/>
      <c r="R30" s="115"/>
      <c r="S30" s="115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38"/>
      <c r="AE30" s="38"/>
      <c r="AF30" s="38"/>
      <c r="AI30" s="38" t="s">
        <v>39</v>
      </c>
      <c r="AJ30" s="38" t="e">
        <f>#REF!</f>
        <v>#REF!</v>
      </c>
    </row>
    <row r="31" spans="1:36">
      <c r="A31" s="60"/>
      <c r="B31" s="121" t="s">
        <v>93</v>
      </c>
      <c r="C31" s="129">
        <f>SUM(Rechenblatt!E62:E92)</f>
        <v>0</v>
      </c>
      <c r="D31" s="129">
        <f>SUM(Rechenblatt!F62:F92)</f>
        <v>0</v>
      </c>
      <c r="E31" s="129">
        <f>SUM(Rechenblatt!G62:G92)</f>
        <v>0</v>
      </c>
      <c r="F31" s="129">
        <f>SUM(Rechenblatt!H62:H92)</f>
        <v>0</v>
      </c>
      <c r="G31" s="129">
        <f>SUM(Rechenblatt!I62:I92)</f>
        <v>0</v>
      </c>
      <c r="H31" s="129">
        <f>SUM(Rechenblatt!J62:J92)</f>
        <v>0</v>
      </c>
      <c r="I31" s="129">
        <f>SUM(Rechenblatt!K62:K92)</f>
        <v>0</v>
      </c>
      <c r="J31" s="129">
        <f>SUM(Rechenblatt!L62:L92)</f>
        <v>0</v>
      </c>
      <c r="K31" s="129">
        <f>SUM(Rechenblatt!M62:M92)</f>
        <v>0</v>
      </c>
      <c r="L31" s="60"/>
      <c r="M31" s="60"/>
      <c r="N31" s="60"/>
      <c r="O31" s="115"/>
      <c r="P31" s="115"/>
      <c r="Q31" s="115"/>
      <c r="R31" s="115"/>
      <c r="S31" s="115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38"/>
      <c r="AE31" s="38"/>
      <c r="AF31" s="38"/>
      <c r="AI31" s="38" t="s">
        <v>40</v>
      </c>
      <c r="AJ31" s="38" t="e">
        <f>#REF!</f>
        <v>#REF!</v>
      </c>
    </row>
    <row r="32" spans="1:36">
      <c r="A32" s="60"/>
      <c r="B32" s="126" t="s">
        <v>94</v>
      </c>
      <c r="C32" s="132">
        <f>SUM(Rechenblatt!E93:E122)</f>
        <v>0</v>
      </c>
      <c r="D32" s="132">
        <f>SUM(Rechenblatt!F93:F122)</f>
        <v>0</v>
      </c>
      <c r="E32" s="132">
        <f>SUM(Rechenblatt!G93:G122)</f>
        <v>0</v>
      </c>
      <c r="F32" s="132">
        <f>SUM(Rechenblatt!H93:H122)</f>
        <v>0</v>
      </c>
      <c r="G32" s="132">
        <f>SUM(Rechenblatt!I93:I122)</f>
        <v>0</v>
      </c>
      <c r="H32" s="132">
        <f>SUM(Rechenblatt!J93:J122)</f>
        <v>0</v>
      </c>
      <c r="I32" s="132">
        <f>SUM(Rechenblatt!K93:K122)</f>
        <v>0</v>
      </c>
      <c r="J32" s="132">
        <f>SUM(Rechenblatt!L93:L122)</f>
        <v>0</v>
      </c>
      <c r="K32" s="132">
        <f>SUM(Rechenblatt!M93:M122)</f>
        <v>0</v>
      </c>
      <c r="L32" s="60"/>
      <c r="M32" s="60"/>
      <c r="N32" s="60"/>
      <c r="O32" s="115"/>
      <c r="P32" s="115" t="s">
        <v>66</v>
      </c>
      <c r="Q32" s="115"/>
      <c r="R32" s="115"/>
      <c r="S32" s="115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38"/>
      <c r="AE32" s="38"/>
      <c r="AF32" s="38"/>
      <c r="AI32" s="38" t="s">
        <v>41</v>
      </c>
      <c r="AJ32" s="38" t="e">
        <f>#REF!</f>
        <v>#REF!</v>
      </c>
    </row>
    <row r="33" spans="1:36">
      <c r="A33" s="60"/>
      <c r="B33" s="121" t="s">
        <v>86</v>
      </c>
      <c r="C33" s="129">
        <f>SUM(Rechenblatt!E123:E153)</f>
        <v>0</v>
      </c>
      <c r="D33" s="129">
        <f>SUM(Rechenblatt!F123:F153)</f>
        <v>0</v>
      </c>
      <c r="E33" s="129">
        <f>SUM(Rechenblatt!G123:G153)</f>
        <v>0</v>
      </c>
      <c r="F33" s="129">
        <f>SUM(Rechenblatt!H123:H153)</f>
        <v>0</v>
      </c>
      <c r="G33" s="129">
        <f>SUM(Rechenblatt!I123:I153)</f>
        <v>0</v>
      </c>
      <c r="H33" s="129">
        <f>SUM(Rechenblatt!J123:J153)</f>
        <v>0</v>
      </c>
      <c r="I33" s="129">
        <f>SUM(Rechenblatt!K123:K153)</f>
        <v>0</v>
      </c>
      <c r="J33" s="129">
        <f>SUM(Rechenblatt!L123:L153)</f>
        <v>0</v>
      </c>
      <c r="K33" s="129">
        <f>SUM(Rechenblatt!M123:M153)</f>
        <v>0</v>
      </c>
      <c r="L33" s="60"/>
      <c r="M33" s="60"/>
      <c r="N33" s="60"/>
      <c r="O33" s="115"/>
      <c r="P33" s="115"/>
      <c r="Q33" s="115"/>
      <c r="R33" s="115"/>
      <c r="S33" s="115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38"/>
      <c r="AE33" s="38"/>
      <c r="AF33" s="38"/>
      <c r="AI33" s="38" t="s">
        <v>42</v>
      </c>
      <c r="AJ33" s="38" t="e">
        <f>#REF!</f>
        <v>#REF!</v>
      </c>
    </row>
    <row r="34" spans="1:36">
      <c r="A34" s="60"/>
      <c r="B34" s="126" t="s">
        <v>95</v>
      </c>
      <c r="C34" s="132">
        <f>SUM(Rechenblatt!E154:E183)</f>
        <v>0</v>
      </c>
      <c r="D34" s="132">
        <f>SUM(Rechenblatt!F154:F183)</f>
        <v>0</v>
      </c>
      <c r="E34" s="132">
        <f>SUM(Rechenblatt!G154:G183)</f>
        <v>0</v>
      </c>
      <c r="F34" s="132">
        <f>SUM(Rechenblatt!H154:H183)</f>
        <v>0</v>
      </c>
      <c r="G34" s="132">
        <f>SUM(Rechenblatt!I154:I183)</f>
        <v>0</v>
      </c>
      <c r="H34" s="132">
        <f>SUM(Rechenblatt!J154:J183)</f>
        <v>0</v>
      </c>
      <c r="I34" s="132">
        <f>SUM(Rechenblatt!K154:K183)</f>
        <v>0</v>
      </c>
      <c r="J34" s="132">
        <f>SUM(Rechenblatt!L154:L183)</f>
        <v>0</v>
      </c>
      <c r="K34" s="132">
        <f>SUM(Rechenblatt!M154:M183)</f>
        <v>0</v>
      </c>
      <c r="L34" s="60"/>
      <c r="M34" s="60"/>
      <c r="N34" s="60"/>
      <c r="O34" s="115"/>
      <c r="P34" s="166" t="s">
        <v>106</v>
      </c>
      <c r="Q34" s="167"/>
      <c r="R34" s="115"/>
      <c r="S34" s="115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38"/>
      <c r="AE34" s="38"/>
      <c r="AF34" s="38"/>
      <c r="AI34" s="38" t="s">
        <v>43</v>
      </c>
      <c r="AJ34" s="38" t="e">
        <f>#REF!</f>
        <v>#REF!</v>
      </c>
    </row>
    <row r="35" spans="1:36">
      <c r="A35" s="60"/>
      <c r="B35" s="121" t="s">
        <v>96</v>
      </c>
      <c r="C35" s="129">
        <f>SUM(Rechenblatt!E184:E214)</f>
        <v>0</v>
      </c>
      <c r="D35" s="129">
        <f>SUM(Rechenblatt!F184:F214)</f>
        <v>0</v>
      </c>
      <c r="E35" s="129">
        <f>SUM(Rechenblatt!G184:G214)</f>
        <v>0</v>
      </c>
      <c r="F35" s="129">
        <f>SUM(Rechenblatt!H184:H214)</f>
        <v>0</v>
      </c>
      <c r="G35" s="129">
        <f>SUM(Rechenblatt!I184:I214)</f>
        <v>0</v>
      </c>
      <c r="H35" s="129">
        <f>SUM(Rechenblatt!J184:J214)</f>
        <v>0</v>
      </c>
      <c r="I35" s="129">
        <f>SUM(Rechenblatt!K184:K214)</f>
        <v>0</v>
      </c>
      <c r="J35" s="129">
        <f>SUM(Rechenblatt!L184:L214)</f>
        <v>0</v>
      </c>
      <c r="K35" s="129">
        <f>SUM(Rechenblatt!M184:M214)</f>
        <v>0</v>
      </c>
      <c r="L35" s="60"/>
      <c r="M35" s="60"/>
      <c r="N35" s="60"/>
      <c r="O35" s="115"/>
      <c r="P35" s="115"/>
      <c r="Q35" s="115"/>
      <c r="R35" s="115"/>
      <c r="S35" s="115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38"/>
      <c r="AE35" s="38"/>
      <c r="AF35" s="38"/>
      <c r="AI35" s="38" t="s">
        <v>44</v>
      </c>
      <c r="AJ35" s="38" t="e">
        <f>#REF!</f>
        <v>#REF!</v>
      </c>
    </row>
    <row r="36" spans="1:36">
      <c r="A36" s="60"/>
      <c r="B36" s="126" t="s">
        <v>97</v>
      </c>
      <c r="C36" s="132">
        <f>SUM(Rechenblatt!E215:E245)</f>
        <v>0</v>
      </c>
      <c r="D36" s="132">
        <f>SUM(Rechenblatt!F215:F245)</f>
        <v>0</v>
      </c>
      <c r="E36" s="132">
        <f>SUM(Rechenblatt!G215:G245)</f>
        <v>0</v>
      </c>
      <c r="F36" s="132">
        <f>SUM(Rechenblatt!H215:H245)</f>
        <v>0</v>
      </c>
      <c r="G36" s="132">
        <f>SUM(Rechenblatt!I215:I245)</f>
        <v>0</v>
      </c>
      <c r="H36" s="132">
        <f>SUM(Rechenblatt!J215:J245)</f>
        <v>0</v>
      </c>
      <c r="I36" s="132">
        <f>SUM(Rechenblatt!K215:K245)</f>
        <v>0</v>
      </c>
      <c r="J36" s="132">
        <f>SUM(Rechenblatt!L215:L245)</f>
        <v>0</v>
      </c>
      <c r="K36" s="132">
        <f>SUM(Rechenblatt!M215:M245)</f>
        <v>0</v>
      </c>
      <c r="L36" s="60"/>
      <c r="M36" s="60"/>
      <c r="N36" s="60"/>
      <c r="O36" s="115"/>
      <c r="P36" s="115"/>
      <c r="Q36" s="115"/>
      <c r="R36" s="115"/>
      <c r="S36" s="115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38"/>
      <c r="AE36" s="38"/>
      <c r="AF36" s="38"/>
      <c r="AI36" s="38" t="s">
        <v>45</v>
      </c>
      <c r="AJ36" s="38" t="e">
        <f>#REF!</f>
        <v>#REF!</v>
      </c>
    </row>
    <row r="37" spans="1:36">
      <c r="A37" s="60"/>
      <c r="B37" s="121" t="s">
        <v>98</v>
      </c>
      <c r="C37" s="129">
        <f>SUM(Rechenblatt!E246:E275)</f>
        <v>0</v>
      </c>
      <c r="D37" s="129">
        <f>SUM(Rechenblatt!F246:F275)</f>
        <v>0</v>
      </c>
      <c r="E37" s="129">
        <f>SUM(Rechenblatt!G246:G275)</f>
        <v>0</v>
      </c>
      <c r="F37" s="129">
        <f>SUM(Rechenblatt!H246:H275)</f>
        <v>0</v>
      </c>
      <c r="G37" s="129">
        <f>SUM(Rechenblatt!I246:I275)</f>
        <v>0</v>
      </c>
      <c r="H37" s="129">
        <f>SUM(Rechenblatt!J246:J275)</f>
        <v>0</v>
      </c>
      <c r="I37" s="129">
        <f>SUM(Rechenblatt!K246:K275)</f>
        <v>0</v>
      </c>
      <c r="J37" s="129">
        <f>SUM(Rechenblatt!L246:L275)</f>
        <v>0</v>
      </c>
      <c r="K37" s="129">
        <f>SUM(Rechenblatt!M246:M275)</f>
        <v>0</v>
      </c>
      <c r="L37" s="60"/>
      <c r="M37" s="60"/>
      <c r="N37" s="60"/>
      <c r="O37" s="115"/>
      <c r="P37" s="115" t="s">
        <v>77</v>
      </c>
      <c r="Q37" s="115"/>
      <c r="R37" s="115" t="s">
        <v>79</v>
      </c>
      <c r="S37" s="115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38"/>
      <c r="AE37" s="38"/>
      <c r="AF37" s="38"/>
      <c r="AI37" s="38" t="s">
        <v>46</v>
      </c>
      <c r="AJ37" s="38" t="e">
        <f>#REF!</f>
        <v>#REF!</v>
      </c>
    </row>
    <row r="38" spans="1:36">
      <c r="A38" s="60"/>
      <c r="B38" s="126" t="s">
        <v>99</v>
      </c>
      <c r="C38" s="132">
        <f>SUM(Rechenblatt!E276:E306)</f>
        <v>0</v>
      </c>
      <c r="D38" s="132">
        <f>SUM(Rechenblatt!F276:F306)</f>
        <v>0</v>
      </c>
      <c r="E38" s="132">
        <f>SUM(Rechenblatt!G276:G306)</f>
        <v>0</v>
      </c>
      <c r="F38" s="132">
        <f>SUM(Rechenblatt!H276:H306)</f>
        <v>0</v>
      </c>
      <c r="G38" s="132">
        <f>SUM(Rechenblatt!I276:I306)</f>
        <v>0</v>
      </c>
      <c r="H38" s="132">
        <f>SUM(Rechenblatt!J276:J306)</f>
        <v>0</v>
      </c>
      <c r="I38" s="132">
        <f>SUM(Rechenblatt!K276:K306)</f>
        <v>0</v>
      </c>
      <c r="J38" s="132">
        <f>SUM(Rechenblatt!L276:L306)</f>
        <v>0</v>
      </c>
      <c r="K38" s="132">
        <f>SUM(Rechenblatt!M276:M306)</f>
        <v>0</v>
      </c>
      <c r="L38" s="60"/>
      <c r="M38" s="60"/>
      <c r="N38" s="60"/>
      <c r="O38" s="115"/>
      <c r="P38" s="115"/>
      <c r="Q38" s="115"/>
      <c r="R38" s="115"/>
      <c r="S38" s="115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38"/>
      <c r="AE38" s="38"/>
      <c r="AF38" s="38"/>
      <c r="AI38" s="38" t="s">
        <v>47</v>
      </c>
      <c r="AJ38" s="38" t="e">
        <f>#REF!</f>
        <v>#REF!</v>
      </c>
    </row>
    <row r="39" spans="1:36">
      <c r="A39" s="60"/>
      <c r="B39" s="121" t="s">
        <v>100</v>
      </c>
      <c r="C39" s="129">
        <f>SUM(Rechenblatt!E307:E336)</f>
        <v>0</v>
      </c>
      <c r="D39" s="129">
        <f>SUM(Rechenblatt!F307:F336)</f>
        <v>0</v>
      </c>
      <c r="E39" s="129">
        <f>SUM(Rechenblatt!G307:G336)</f>
        <v>0</v>
      </c>
      <c r="F39" s="129">
        <f>SUM(Rechenblatt!H307:H336)</f>
        <v>0</v>
      </c>
      <c r="G39" s="129">
        <f>SUM(Rechenblatt!I307:I336)</f>
        <v>0</v>
      </c>
      <c r="H39" s="129">
        <f>SUM(Rechenblatt!J307:J336)</f>
        <v>0</v>
      </c>
      <c r="I39" s="129">
        <f>SUM(Rechenblatt!K307:K336)</f>
        <v>0</v>
      </c>
      <c r="J39" s="129">
        <f>SUM(Rechenblatt!L307:L336)</f>
        <v>0</v>
      </c>
      <c r="K39" s="129">
        <f>SUM(Rechenblatt!M307:M336)</f>
        <v>0</v>
      </c>
      <c r="L39" s="60"/>
      <c r="M39" s="60"/>
      <c r="N39" s="60"/>
      <c r="O39" s="115"/>
      <c r="P39" s="53">
        <v>0</v>
      </c>
      <c r="Q39" s="115"/>
      <c r="R39" s="53">
        <v>25</v>
      </c>
      <c r="S39" s="115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38"/>
      <c r="AE39" s="38"/>
      <c r="AF39" s="38"/>
      <c r="AI39" s="38" t="s">
        <v>48</v>
      </c>
      <c r="AJ39" s="38" t="e">
        <f>#REF!</f>
        <v>#REF!</v>
      </c>
    </row>
    <row r="40" spans="1:36">
      <c r="A40" s="60"/>
      <c r="B40" s="126" t="s">
        <v>101</v>
      </c>
      <c r="C40" s="132">
        <f>SUM(Rechenblatt!E337:E367)</f>
        <v>0</v>
      </c>
      <c r="D40" s="132">
        <f>SUM(Rechenblatt!F337:F367)</f>
        <v>0</v>
      </c>
      <c r="E40" s="132">
        <f>SUM(Rechenblatt!G337:G367)</f>
        <v>0</v>
      </c>
      <c r="F40" s="132">
        <f>SUM(Rechenblatt!H337:H367)</f>
        <v>0</v>
      </c>
      <c r="G40" s="132">
        <f>SUM(Rechenblatt!I337:I367)</f>
        <v>0</v>
      </c>
      <c r="H40" s="132">
        <f>SUM(Rechenblatt!J337:J367)</f>
        <v>0</v>
      </c>
      <c r="I40" s="132">
        <f>SUM(Rechenblatt!K337:K367)</f>
        <v>0</v>
      </c>
      <c r="J40" s="132">
        <f>SUM(Rechenblatt!L337:L367)</f>
        <v>0</v>
      </c>
      <c r="K40" s="132">
        <f>SUM(Rechenblatt!M337:M367)</f>
        <v>0</v>
      </c>
      <c r="L40" s="60"/>
      <c r="M40" s="60"/>
      <c r="N40" s="60"/>
      <c r="O40" s="115"/>
      <c r="P40" s="115"/>
      <c r="Q40" s="115"/>
      <c r="R40" s="115"/>
      <c r="S40" s="115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38"/>
      <c r="AE40" s="38"/>
      <c r="AF40" s="38"/>
      <c r="AI40" s="38" t="s">
        <v>49</v>
      </c>
      <c r="AJ40" s="38" t="e">
        <f>#REF!</f>
        <v>#REF!</v>
      </c>
    </row>
    <row r="41" spans="1:36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115"/>
      <c r="P41" s="115"/>
      <c r="Q41" s="115"/>
      <c r="R41" s="115"/>
      <c r="S41" s="115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38"/>
      <c r="AE41" s="38"/>
      <c r="AF41" s="38"/>
      <c r="AI41" s="38" t="s">
        <v>50</v>
      </c>
      <c r="AJ41" s="38" t="e">
        <f>#REF!</f>
        <v>#REF!</v>
      </c>
    </row>
    <row r="42" spans="1:36">
      <c r="A42" s="60"/>
      <c r="B42" s="121"/>
      <c r="C42" s="160"/>
      <c r="D42" s="161"/>
      <c r="E42" s="161"/>
      <c r="F42" s="161"/>
      <c r="G42" s="161"/>
      <c r="H42" s="161"/>
      <c r="I42" s="161"/>
      <c r="J42" s="161"/>
      <c r="K42" s="161"/>
      <c r="L42" s="60"/>
      <c r="M42" s="60"/>
      <c r="N42" s="60"/>
      <c r="O42" s="115"/>
      <c r="P42" s="115"/>
      <c r="Q42" s="115"/>
      <c r="R42" s="115"/>
      <c r="S42" s="115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38"/>
      <c r="AE42" s="38"/>
      <c r="AF42" s="38"/>
      <c r="AI42" s="38" t="s">
        <v>51</v>
      </c>
      <c r="AJ42" s="38" t="e">
        <f>#REF!</f>
        <v>#REF!</v>
      </c>
    </row>
    <row r="43" spans="1:36">
      <c r="A43" s="60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60"/>
      <c r="M43" s="60"/>
      <c r="N43" s="60"/>
      <c r="O43" s="115"/>
      <c r="P43" s="115"/>
      <c r="Q43" s="115"/>
      <c r="R43" s="115"/>
      <c r="S43" s="115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38"/>
      <c r="AE43" s="38"/>
      <c r="AF43" s="38"/>
      <c r="AI43" s="38" t="s">
        <v>52</v>
      </c>
      <c r="AJ43" s="38" t="e">
        <f>#REF!</f>
        <v>#REF!</v>
      </c>
    </row>
    <row r="44" spans="1:36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38"/>
      <c r="AE44" s="38"/>
      <c r="AF44" s="38"/>
      <c r="AI44" s="38" t="s">
        <v>53</v>
      </c>
      <c r="AJ44" s="38" t="e">
        <f>#REF!</f>
        <v>#REF!</v>
      </c>
    </row>
    <row r="45" spans="1:36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38"/>
      <c r="AE45" s="38"/>
      <c r="AF45" s="38"/>
      <c r="AI45" s="38" t="s">
        <v>54</v>
      </c>
      <c r="AJ45" s="38" t="e">
        <f>#REF!</f>
        <v>#REF!</v>
      </c>
    </row>
    <row r="46" spans="1:36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38"/>
      <c r="AE46" s="38"/>
      <c r="AF46" s="38"/>
      <c r="AI46" s="38" t="s">
        <v>55</v>
      </c>
      <c r="AJ46" s="38" t="e">
        <f>#REF!</f>
        <v>#REF!</v>
      </c>
    </row>
    <row r="47" spans="1:36">
      <c r="A47" s="60"/>
      <c r="B47" s="60"/>
      <c r="C47" s="60"/>
      <c r="D47" s="60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38"/>
      <c r="AE47" s="38"/>
      <c r="AF47" s="38"/>
      <c r="AI47" s="38" t="s">
        <v>56</v>
      </c>
      <c r="AJ47" s="38" t="e">
        <f>#REF!</f>
        <v>#REF!</v>
      </c>
    </row>
    <row r="48" spans="1:36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38"/>
      <c r="AE48" s="38"/>
      <c r="AF48" s="38"/>
      <c r="AI48" s="38" t="s">
        <v>57</v>
      </c>
      <c r="AJ48" s="38" t="e">
        <f>#REF!</f>
        <v>#REF!</v>
      </c>
    </row>
    <row r="49" spans="1:36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38"/>
      <c r="AE49" s="38"/>
      <c r="AF49" s="38"/>
      <c r="AI49" s="38" t="s">
        <v>58</v>
      </c>
      <c r="AJ49" s="38" t="e">
        <f>#REF!</f>
        <v>#REF!</v>
      </c>
    </row>
    <row r="50" spans="1:36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38"/>
      <c r="AE50" s="38"/>
      <c r="AF50" s="38"/>
      <c r="AI50" s="38" t="s">
        <v>59</v>
      </c>
      <c r="AJ50" s="38" t="e">
        <f>#REF!</f>
        <v>#REF!</v>
      </c>
    </row>
    <row r="51" spans="1:36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38"/>
      <c r="AE51" s="38"/>
      <c r="AF51" s="38"/>
      <c r="AI51" s="38" t="s">
        <v>60</v>
      </c>
      <c r="AJ51" s="38" t="e">
        <f>#REF!</f>
        <v>#REF!</v>
      </c>
    </row>
    <row r="52" spans="1:36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38"/>
      <c r="AE52" s="38"/>
      <c r="AF52" s="38"/>
      <c r="AI52" s="38" t="s">
        <v>61</v>
      </c>
      <c r="AJ52" s="38" t="e">
        <f>#REF!</f>
        <v>#REF!</v>
      </c>
    </row>
    <row r="53" spans="1:36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38"/>
      <c r="AE53" s="38"/>
      <c r="AF53" s="38"/>
      <c r="AI53" s="38" t="s">
        <v>62</v>
      </c>
      <c r="AJ53" s="38" t="e">
        <f>#REF!</f>
        <v>#REF!</v>
      </c>
    </row>
    <row r="54" spans="1:36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38"/>
      <c r="AE54" s="38"/>
      <c r="AF54" s="38"/>
      <c r="AI54" s="38" t="s">
        <v>69</v>
      </c>
      <c r="AJ54" s="38" t="e">
        <f>#REF!</f>
        <v>#REF!</v>
      </c>
    </row>
    <row r="55" spans="1:36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38"/>
      <c r="AE55" s="38"/>
      <c r="AF55" s="38"/>
      <c r="AI55" s="38" t="s">
        <v>78</v>
      </c>
      <c r="AJ55" s="38" t="e">
        <f>AVERAGE(AJ2:AJ54)</f>
        <v>#REF!</v>
      </c>
    </row>
    <row r="56" spans="1:36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38"/>
      <c r="AE56" s="38"/>
      <c r="AF56" s="38"/>
      <c r="AI56" s="38" t="s">
        <v>68</v>
      </c>
      <c r="AJ56" s="38" t="e">
        <f>SUM(AJ2:AJ54)</f>
        <v>#REF!</v>
      </c>
    </row>
    <row r="57" spans="1:36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38"/>
      <c r="AE57" s="38"/>
      <c r="AF57" s="38"/>
    </row>
    <row r="58" spans="1:36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38"/>
      <c r="AE58" s="38"/>
      <c r="AF58" s="38"/>
    </row>
    <row r="59" spans="1:36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38"/>
      <c r="AE59" s="38"/>
      <c r="AF59" s="38"/>
    </row>
    <row r="60" spans="1:36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38"/>
      <c r="AE60" s="38"/>
      <c r="AF60" s="38"/>
    </row>
    <row r="61" spans="1:36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38"/>
      <c r="AE61" s="38"/>
      <c r="AF61" s="38"/>
    </row>
    <row r="62" spans="1:36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38"/>
      <c r="AE62" s="38"/>
      <c r="AF62" s="38"/>
    </row>
    <row r="63" spans="1:36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38"/>
      <c r="AE63" s="38"/>
      <c r="AF63" s="38"/>
    </row>
    <row r="64" spans="1:36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38"/>
      <c r="AE64" s="38"/>
      <c r="AF64" s="38"/>
    </row>
    <row r="65" spans="1:32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38"/>
      <c r="AE65" s="38"/>
      <c r="AF65" s="38"/>
    </row>
    <row r="66" spans="1:32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 t="s">
        <v>72</v>
      </c>
      <c r="V66" s="60" t="s">
        <v>81</v>
      </c>
      <c r="W66" s="60">
        <f>R29/5*R39-W67</f>
        <v>200</v>
      </c>
      <c r="X66" s="60"/>
      <c r="Y66" s="60"/>
      <c r="Z66" s="60"/>
      <c r="AA66" s="60"/>
      <c r="AB66" s="60"/>
      <c r="AC66" s="60"/>
      <c r="AD66" s="38"/>
      <c r="AE66" s="38"/>
      <c r="AF66" s="38"/>
    </row>
    <row r="67" spans="1:32" ht="1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 t="s">
        <v>80</v>
      </c>
      <c r="W67" s="110">
        <f>SUM('KW 1'!Z17)</f>
        <v>0</v>
      </c>
      <c r="X67" s="60"/>
      <c r="Y67" s="60"/>
      <c r="Z67" s="60"/>
      <c r="AA67" s="60"/>
      <c r="AB67" s="60"/>
      <c r="AC67" s="60"/>
      <c r="AD67" s="38"/>
      <c r="AE67" s="38"/>
      <c r="AF67" s="38"/>
    </row>
    <row r="68" spans="1:32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38"/>
      <c r="AE68" s="38"/>
      <c r="AF68" s="38"/>
    </row>
    <row r="69" spans="1:32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38"/>
      <c r="AE69" s="38"/>
      <c r="AF69" s="38"/>
    </row>
    <row r="70" spans="1:32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38"/>
      <c r="AE70" s="38"/>
      <c r="AF70" s="38"/>
    </row>
    <row r="71" spans="1:32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38"/>
      <c r="AE71" s="38"/>
      <c r="AF71" s="38"/>
    </row>
    <row r="72" spans="1:32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38"/>
      <c r="AE72" s="38"/>
      <c r="AF72" s="38"/>
    </row>
    <row r="73" spans="1:32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38"/>
      <c r="AE73" s="38"/>
      <c r="AF73" s="38"/>
    </row>
    <row r="74" spans="1:32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38"/>
      <c r="AE74" s="38"/>
      <c r="AF74" s="38"/>
    </row>
    <row r="75" spans="1:32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38"/>
      <c r="AE75" s="38"/>
      <c r="AF75" s="38"/>
    </row>
    <row r="76" spans="1:32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38"/>
      <c r="AE76" s="38"/>
      <c r="AF76" s="38"/>
    </row>
    <row r="77" spans="1:32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38"/>
      <c r="AE77" s="38"/>
      <c r="AF77" s="38"/>
    </row>
    <row r="78" spans="1:32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38"/>
      <c r="AE78" s="38"/>
      <c r="AF78" s="38"/>
    </row>
    <row r="79" spans="1:32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38"/>
      <c r="AE79" s="38"/>
      <c r="AF79" s="38"/>
    </row>
    <row r="80" spans="1:32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38"/>
      <c r="AE80" s="38"/>
      <c r="AF80" s="38"/>
    </row>
    <row r="81" spans="1:19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</row>
    <row r="82" spans="1:19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</row>
    <row r="83" spans="1:19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</row>
    <row r="84" spans="1:19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</row>
    <row r="85" spans="1:19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</row>
    <row r="86" spans="1:19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</row>
    <row r="87" spans="1:19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</row>
    <row r="88" spans="1:19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</row>
    <row r="89" spans="1:19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</row>
    <row r="90" spans="1:19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</row>
    <row r="91" spans="1:19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</row>
    <row r="92" spans="1:19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</row>
  </sheetData>
  <mergeCells count="10">
    <mergeCell ref="P34:Q34"/>
    <mergeCell ref="R20:S20"/>
    <mergeCell ref="R22:S22"/>
    <mergeCell ref="R24:S24"/>
    <mergeCell ref="R26:S26"/>
    <mergeCell ref="R10:S10"/>
    <mergeCell ref="R12:S12"/>
    <mergeCell ref="R14:S14"/>
    <mergeCell ref="R16:S16"/>
    <mergeCell ref="R18:S18"/>
  </mergeCells>
  <conditionalFormatting sqref="C42:K42">
    <cfRule type="cellIs" dxfId="9753" priority="2" operator="equal">
      <formula>TRUE</formula>
    </cfRule>
    <cfRule type="cellIs" dxfId="9752" priority="1" operator="equal">
      <formula>FALSE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C72C-A6F0-4BF5-B3CF-1A8236FBB8A7}">
  <dimension ref="A1:N368"/>
  <sheetViews>
    <sheetView topLeftCell="A322" workbookViewId="0">
      <selection activeCell="L366" sqref="L366"/>
    </sheetView>
  </sheetViews>
  <sheetFormatPr baseColWidth="10" defaultRowHeight="15"/>
  <cols>
    <col min="5" max="5" width="11.1640625" style="134"/>
    <col min="6" max="6" width="11.1640625" style="137"/>
    <col min="7" max="7" width="11.1640625" style="140"/>
    <col min="8" max="8" width="11.1640625" style="143"/>
    <col min="9" max="9" width="11.1640625" style="146"/>
    <col min="10" max="10" width="11.1640625" style="149"/>
    <col min="11" max="11" width="11.1640625" style="152"/>
    <col min="12" max="12" width="11.1640625" style="155"/>
    <col min="13" max="13" width="11.1640625" style="158"/>
  </cols>
  <sheetData>
    <row r="1" spans="1:13">
      <c r="A1" t="s">
        <v>102</v>
      </c>
      <c r="B1" t="s">
        <v>103</v>
      </c>
      <c r="E1" s="133"/>
      <c r="F1" s="136"/>
      <c r="G1" s="139"/>
      <c r="H1" s="142"/>
      <c r="I1" s="145"/>
      <c r="J1" s="148"/>
      <c r="K1" s="151"/>
      <c r="L1" s="154"/>
      <c r="M1" s="157"/>
    </row>
    <row r="2" spans="1:13">
      <c r="A2">
        <v>1</v>
      </c>
      <c r="B2">
        <f>'KW 2'!V35</f>
        <v>0</v>
      </c>
      <c r="C2" t="s">
        <v>91</v>
      </c>
      <c r="D2" s="128" t="s">
        <v>116</v>
      </c>
      <c r="E2" s="134">
        <f>'KW 1'!AH6</f>
        <v>0</v>
      </c>
      <c r="F2" s="137">
        <f>'KW 1'!AI6</f>
        <v>0</v>
      </c>
      <c r="G2" s="140">
        <f>'KW 1'!AJ6</f>
        <v>0</v>
      </c>
      <c r="H2" s="143">
        <f>'KW 1'!AK6</f>
        <v>0</v>
      </c>
      <c r="I2" s="146">
        <f>'KW 1'!AL6</f>
        <v>0</v>
      </c>
      <c r="J2" s="149">
        <f>'KW 1'!AM6</f>
        <v>0</v>
      </c>
      <c r="K2" s="152">
        <f>'KW 1'!AN6</f>
        <v>0</v>
      </c>
      <c r="L2" s="155">
        <f>'KW 1'!AO6</f>
        <v>0</v>
      </c>
      <c r="M2" s="158">
        <f>'KW 1'!AP6</f>
        <v>0</v>
      </c>
    </row>
    <row r="3" spans="1:13">
      <c r="A3">
        <v>2</v>
      </c>
      <c r="B3">
        <f>'KW 3'!V35</f>
        <v>0</v>
      </c>
      <c r="D3" s="127" t="s">
        <v>117</v>
      </c>
      <c r="E3" s="134">
        <f>'KW 1'!AH7</f>
        <v>0</v>
      </c>
      <c r="F3" s="137">
        <f>'KW 1'!AI7</f>
        <v>0</v>
      </c>
      <c r="G3" s="140">
        <f>'KW 1'!AJ7</f>
        <v>0</v>
      </c>
      <c r="H3" s="143">
        <f>'KW 1'!AK7</f>
        <v>0</v>
      </c>
      <c r="I3" s="146">
        <f>'KW 1'!AL7</f>
        <v>0</v>
      </c>
      <c r="J3" s="149">
        <f>'KW 1'!AM7</f>
        <v>0</v>
      </c>
      <c r="K3" s="152">
        <f>'KW 1'!AN7</f>
        <v>0</v>
      </c>
      <c r="L3" s="155">
        <f>'KW 1'!AO7</f>
        <v>0</v>
      </c>
      <c r="M3" s="158">
        <f>'KW 1'!AP7</f>
        <v>0</v>
      </c>
    </row>
    <row r="4" spans="1:13">
      <c r="A4">
        <v>3</v>
      </c>
      <c r="B4">
        <f>'KW 4'!V35</f>
        <v>0</v>
      </c>
      <c r="D4" s="127" t="s">
        <v>118</v>
      </c>
      <c r="E4" s="134">
        <f>'KW 1'!AH8</f>
        <v>0</v>
      </c>
      <c r="F4" s="137">
        <f>'KW 1'!AI8</f>
        <v>0</v>
      </c>
      <c r="G4" s="140">
        <f>'KW 1'!AJ8</f>
        <v>0</v>
      </c>
      <c r="H4" s="143">
        <f>'KW 1'!AK8</f>
        <v>0</v>
      </c>
      <c r="I4" s="146">
        <f>'KW 1'!AL8</f>
        <v>0</v>
      </c>
      <c r="J4" s="149">
        <f>'KW 1'!AM8</f>
        <v>0</v>
      </c>
      <c r="K4" s="152">
        <f>'KW 1'!AN8</f>
        <v>0</v>
      </c>
      <c r="L4" s="155">
        <f>'KW 1'!AO8</f>
        <v>0</v>
      </c>
      <c r="M4" s="158">
        <f>'KW 1'!AP8</f>
        <v>0</v>
      </c>
    </row>
    <row r="5" spans="1:13">
      <c r="A5">
        <v>4</v>
      </c>
      <c r="B5">
        <f>'KW 5'!V35</f>
        <v>0</v>
      </c>
      <c r="D5" s="127" t="s">
        <v>119</v>
      </c>
      <c r="E5" s="134">
        <f>'KW 1'!AH9</f>
        <v>0</v>
      </c>
      <c r="F5" s="137">
        <f>'KW 1'!AI9</f>
        <v>0</v>
      </c>
      <c r="G5" s="140">
        <f>'KW 1'!AJ9</f>
        <v>0</v>
      </c>
      <c r="H5" s="143">
        <f>'KW 1'!AK9</f>
        <v>0</v>
      </c>
      <c r="I5" s="146">
        <f>'KW 1'!AL9</f>
        <v>0</v>
      </c>
      <c r="J5" s="149">
        <f>'KW 1'!AM9</f>
        <v>0</v>
      </c>
      <c r="K5" s="152">
        <f>'KW 1'!AN9</f>
        <v>0</v>
      </c>
      <c r="L5" s="155">
        <f>'KW 1'!AO9</f>
        <v>0</v>
      </c>
      <c r="M5" s="158">
        <f>'KW 1'!AP9</f>
        <v>0</v>
      </c>
    </row>
    <row r="6" spans="1:13">
      <c r="A6">
        <v>5</v>
      </c>
      <c r="B6">
        <f>'KW 6'!V35</f>
        <v>0</v>
      </c>
      <c r="D6" s="127" t="s">
        <v>120</v>
      </c>
      <c r="E6" s="134">
        <f>'KW 1'!AH10</f>
        <v>0</v>
      </c>
      <c r="F6" s="137">
        <f>'KW 1'!AI10</f>
        <v>0</v>
      </c>
      <c r="G6" s="140">
        <f>'KW 1'!AJ10</f>
        <v>0</v>
      </c>
      <c r="H6" s="143">
        <f>'KW 1'!AK10</f>
        <v>0</v>
      </c>
      <c r="I6" s="146">
        <f>'KW 1'!AL10</f>
        <v>0</v>
      </c>
      <c r="J6" s="149">
        <f>'KW 1'!AM10</f>
        <v>0</v>
      </c>
      <c r="K6" s="152">
        <f>'KW 1'!AN10</f>
        <v>0</v>
      </c>
      <c r="L6" s="155">
        <f>'KW 1'!AO10</f>
        <v>0</v>
      </c>
      <c r="M6" s="158">
        <f>'KW 1'!AP10</f>
        <v>0</v>
      </c>
    </row>
    <row r="7" spans="1:13">
      <c r="A7">
        <v>6</v>
      </c>
      <c r="B7">
        <f>'KW 7'!V35</f>
        <v>0</v>
      </c>
      <c r="D7" s="127" t="s">
        <v>121</v>
      </c>
      <c r="E7" s="134">
        <f>'KW 1'!AH11</f>
        <v>0</v>
      </c>
      <c r="F7" s="137">
        <f>'KW 1'!AI11</f>
        <v>0</v>
      </c>
      <c r="G7" s="140">
        <f>'KW 1'!AJ11</f>
        <v>0</v>
      </c>
      <c r="H7" s="143">
        <f>'KW 1'!AK11</f>
        <v>0</v>
      </c>
      <c r="I7" s="146">
        <f>'KW 1'!AL11</f>
        <v>0</v>
      </c>
      <c r="J7" s="149">
        <f>'KW 1'!AM11</f>
        <v>0</v>
      </c>
      <c r="K7" s="152">
        <f>'KW 1'!AN11</f>
        <v>0</v>
      </c>
      <c r="L7" s="155">
        <f>'KW 1'!AO11</f>
        <v>0</v>
      </c>
      <c r="M7" s="158">
        <f>'KW 1'!AP11</f>
        <v>0</v>
      </c>
    </row>
    <row r="8" spans="1:13">
      <c r="A8">
        <v>7</v>
      </c>
      <c r="B8">
        <f>'KW 8'!V35</f>
        <v>0</v>
      </c>
      <c r="D8" s="127" t="s">
        <v>122</v>
      </c>
      <c r="E8" s="134">
        <f>'KW 1'!AH5</f>
        <v>0</v>
      </c>
      <c r="F8" s="137">
        <f>'KW 1'!AI5</f>
        <v>0</v>
      </c>
      <c r="G8" s="140">
        <f>'KW 1'!AJ5</f>
        <v>0</v>
      </c>
      <c r="H8" s="143">
        <f>'KW 1'!AK5</f>
        <v>0</v>
      </c>
      <c r="I8" s="146">
        <f>'KW 1'!AL5</f>
        <v>0</v>
      </c>
      <c r="J8" s="149">
        <f>'KW 1'!AM5</f>
        <v>0</v>
      </c>
      <c r="K8" s="152">
        <f>'KW 1'!AN5</f>
        <v>0</v>
      </c>
      <c r="L8" s="155">
        <f>'KW 1'!AO5</f>
        <v>0</v>
      </c>
      <c r="M8" s="158">
        <f>'KW 1'!AP5</f>
        <v>0</v>
      </c>
    </row>
    <row r="9" spans="1:13">
      <c r="A9">
        <v>8</v>
      </c>
      <c r="B9">
        <f>'KW 9'!V35</f>
        <v>0</v>
      </c>
      <c r="D9" s="127" t="s">
        <v>123</v>
      </c>
      <c r="E9" s="134">
        <f>'KW 2'!AH6</f>
        <v>0</v>
      </c>
      <c r="F9" s="137">
        <f>'KW 2'!AI6</f>
        <v>0</v>
      </c>
      <c r="G9" s="140">
        <f>'KW 2'!AJ6</f>
        <v>0</v>
      </c>
      <c r="H9" s="143">
        <f>'KW 2'!AK6</f>
        <v>0</v>
      </c>
      <c r="I9" s="146">
        <f>'KW 2'!AL6</f>
        <v>0</v>
      </c>
      <c r="J9" s="149">
        <f>'KW 2'!AM6</f>
        <v>0</v>
      </c>
      <c r="K9" s="152">
        <f>'KW 2'!AN6</f>
        <v>0</v>
      </c>
      <c r="L9" s="155">
        <f>'KW 2'!AO6</f>
        <v>0</v>
      </c>
      <c r="M9" s="158">
        <f>'KW 2'!AP6</f>
        <v>0</v>
      </c>
    </row>
    <row r="10" spans="1:13">
      <c r="A10">
        <v>9</v>
      </c>
      <c r="B10">
        <f>'KW 10'!V35</f>
        <v>0</v>
      </c>
      <c r="D10" s="127" t="s">
        <v>124</v>
      </c>
      <c r="E10" s="134">
        <f>'KW 2'!AH7</f>
        <v>0</v>
      </c>
      <c r="F10" s="137">
        <f>'KW 2'!AI7</f>
        <v>0</v>
      </c>
      <c r="G10" s="140">
        <f>'KW 2'!AJ7</f>
        <v>0</v>
      </c>
      <c r="H10" s="143">
        <f>'KW 2'!AK7</f>
        <v>0</v>
      </c>
      <c r="I10" s="146">
        <f>'KW 2'!AL7</f>
        <v>0</v>
      </c>
      <c r="J10" s="149">
        <f>'KW 2'!AM7</f>
        <v>0</v>
      </c>
      <c r="K10" s="152">
        <f>'KW 2'!AN7</f>
        <v>0</v>
      </c>
      <c r="L10" s="155">
        <f>'KW 2'!AO7</f>
        <v>0</v>
      </c>
      <c r="M10" s="158">
        <f>'KW 2'!AP7</f>
        <v>0</v>
      </c>
    </row>
    <row r="11" spans="1:13">
      <c r="A11">
        <v>10</v>
      </c>
      <c r="B11">
        <f>'KW 11'!V35</f>
        <v>0</v>
      </c>
      <c r="D11" s="127" t="s">
        <v>125</v>
      </c>
      <c r="E11" s="134">
        <f>'KW 2'!AH8</f>
        <v>0</v>
      </c>
      <c r="F11" s="137">
        <f>'KW 2'!AI8</f>
        <v>0</v>
      </c>
      <c r="G11" s="140">
        <f>'KW 2'!AJ8</f>
        <v>0</v>
      </c>
      <c r="H11" s="143">
        <f>'KW 2'!AK8</f>
        <v>0</v>
      </c>
      <c r="I11" s="146">
        <f>'KW 2'!AL8</f>
        <v>0</v>
      </c>
      <c r="J11" s="149">
        <f>'KW 2'!AM8</f>
        <v>0</v>
      </c>
      <c r="K11" s="152">
        <f>'KW 2'!AN8</f>
        <v>0</v>
      </c>
      <c r="L11" s="155">
        <f>'KW 2'!AO8</f>
        <v>0</v>
      </c>
      <c r="M11" s="158">
        <f>'KW 2'!AP8</f>
        <v>0</v>
      </c>
    </row>
    <row r="12" spans="1:13">
      <c r="A12">
        <v>11</v>
      </c>
      <c r="B12">
        <f>'KW 12'!V35</f>
        <v>0</v>
      </c>
      <c r="D12" s="127" t="s">
        <v>126</v>
      </c>
      <c r="E12" s="134">
        <f>'KW 2'!AH9</f>
        <v>0</v>
      </c>
      <c r="F12" s="137">
        <f>'KW 2'!AI9</f>
        <v>0</v>
      </c>
      <c r="G12" s="140">
        <f>'KW 2'!AJ9</f>
        <v>0</v>
      </c>
      <c r="H12" s="143">
        <f>'KW 2'!AK9</f>
        <v>0</v>
      </c>
      <c r="I12" s="146">
        <f>'KW 2'!AL9</f>
        <v>0</v>
      </c>
      <c r="J12" s="149">
        <f>'KW 2'!AM9</f>
        <v>0</v>
      </c>
      <c r="K12" s="152">
        <f>'KW 2'!AN9</f>
        <v>0</v>
      </c>
      <c r="L12" s="155">
        <f>'KW 2'!AO9</f>
        <v>0</v>
      </c>
      <c r="M12" s="158">
        <f>'KW 2'!AP9</f>
        <v>0</v>
      </c>
    </row>
    <row r="13" spans="1:13">
      <c r="A13">
        <v>12</v>
      </c>
      <c r="B13">
        <f>'KW 13'!V35</f>
        <v>0</v>
      </c>
      <c r="D13" s="127" t="s">
        <v>127</v>
      </c>
      <c r="E13" s="134">
        <f>'KW 2'!AH10</f>
        <v>0</v>
      </c>
      <c r="F13" s="137">
        <f>'KW 2'!AI10</f>
        <v>0</v>
      </c>
      <c r="G13" s="140">
        <f>'KW 2'!AJ10</f>
        <v>0</v>
      </c>
      <c r="H13" s="143">
        <f>'KW 2'!AK10</f>
        <v>0</v>
      </c>
      <c r="I13" s="146">
        <f>'KW 2'!AL10</f>
        <v>0</v>
      </c>
      <c r="J13" s="149">
        <f>'KW 2'!AM10</f>
        <v>0</v>
      </c>
      <c r="K13" s="152">
        <f>'KW 2'!AN10</f>
        <v>0</v>
      </c>
      <c r="L13" s="155">
        <f>'KW 2'!AO10</f>
        <v>0</v>
      </c>
      <c r="M13" s="158">
        <f>'KW 2'!AP10</f>
        <v>0</v>
      </c>
    </row>
    <row r="14" spans="1:13">
      <c r="A14">
        <v>13</v>
      </c>
      <c r="B14">
        <f>'KW 14'!V35</f>
        <v>0</v>
      </c>
      <c r="D14" s="127" t="s">
        <v>128</v>
      </c>
      <c r="E14" s="134">
        <f>'KW 2'!AH11</f>
        <v>0</v>
      </c>
      <c r="F14" s="137">
        <f>'KW 2'!AI11</f>
        <v>0</v>
      </c>
      <c r="G14" s="140">
        <f>'KW 2'!AJ11</f>
        <v>0</v>
      </c>
      <c r="H14" s="143">
        <f>'KW 2'!AK11</f>
        <v>0</v>
      </c>
      <c r="I14" s="146">
        <f>'KW 2'!AL11</f>
        <v>0</v>
      </c>
      <c r="J14" s="149">
        <f>'KW 2'!AM11</f>
        <v>0</v>
      </c>
      <c r="K14" s="152">
        <f>'KW 2'!AN11</f>
        <v>0</v>
      </c>
      <c r="L14" s="155">
        <f>'KW 2'!AO11</f>
        <v>0</v>
      </c>
      <c r="M14" s="158">
        <f>'KW 2'!AP11</f>
        <v>0</v>
      </c>
    </row>
    <row r="15" spans="1:13">
      <c r="A15">
        <v>14</v>
      </c>
      <c r="B15">
        <f>'KW 15'!V35</f>
        <v>0</v>
      </c>
      <c r="D15" s="127" t="s">
        <v>129</v>
      </c>
      <c r="E15" s="134">
        <f>'KW 2'!AH5</f>
        <v>0</v>
      </c>
      <c r="F15" s="137">
        <f>'KW 2'!AI5</f>
        <v>0</v>
      </c>
      <c r="G15" s="140">
        <f>'KW 2'!AJ5</f>
        <v>0</v>
      </c>
      <c r="H15" s="143">
        <f>'KW 2'!AK5</f>
        <v>0</v>
      </c>
      <c r="I15" s="146">
        <f>'KW 2'!AL5</f>
        <v>0</v>
      </c>
      <c r="J15" s="149">
        <f>'KW 2'!AM5</f>
        <v>0</v>
      </c>
      <c r="K15" s="152">
        <f>'KW 2'!AN5</f>
        <v>0</v>
      </c>
      <c r="L15" s="155">
        <f>'KW 2'!AO5</f>
        <v>0</v>
      </c>
      <c r="M15" s="158">
        <f>'KW 2'!AP5</f>
        <v>0</v>
      </c>
    </row>
    <row r="16" spans="1:13">
      <c r="A16">
        <v>15</v>
      </c>
      <c r="B16">
        <f>'KW 16'!V35</f>
        <v>0</v>
      </c>
      <c r="D16" s="127" t="s">
        <v>130</v>
      </c>
      <c r="E16" s="134">
        <f>'KW 3'!AH6</f>
        <v>0</v>
      </c>
      <c r="F16" s="137">
        <f>'KW 3'!AI6</f>
        <v>0</v>
      </c>
      <c r="G16" s="140">
        <f>'KW 3'!AJ6</f>
        <v>0</v>
      </c>
      <c r="H16" s="143">
        <f>'KW 3'!AK6</f>
        <v>0</v>
      </c>
      <c r="I16" s="146">
        <f>'KW 3'!AL6</f>
        <v>0</v>
      </c>
      <c r="J16" s="149">
        <f>'KW 3'!AM6</f>
        <v>0</v>
      </c>
      <c r="K16" s="152">
        <f>'KW 3'!AN6</f>
        <v>0</v>
      </c>
      <c r="L16" s="155">
        <f>'KW 3'!AO6</f>
        <v>0</v>
      </c>
      <c r="M16" s="158">
        <f>'KW 3'!AP6</f>
        <v>0</v>
      </c>
    </row>
    <row r="17" spans="1:13">
      <c r="A17">
        <v>16</v>
      </c>
      <c r="B17">
        <f>'KW 17'!V35</f>
        <v>0</v>
      </c>
      <c r="D17" s="127" t="s">
        <v>131</v>
      </c>
      <c r="E17" s="134">
        <f>'KW 3'!AH7</f>
        <v>0</v>
      </c>
      <c r="F17" s="137">
        <f>'KW 3'!AI7</f>
        <v>0</v>
      </c>
      <c r="G17" s="140">
        <f>'KW 3'!AJ7</f>
        <v>0</v>
      </c>
      <c r="H17" s="143">
        <f>'KW 3'!AK7</f>
        <v>0</v>
      </c>
      <c r="I17" s="146">
        <f>'KW 3'!AL7</f>
        <v>0</v>
      </c>
      <c r="J17" s="149">
        <f>'KW 3'!AM7</f>
        <v>0</v>
      </c>
      <c r="K17" s="152">
        <f>'KW 3'!AN7</f>
        <v>0</v>
      </c>
      <c r="L17" s="155">
        <f>'KW 3'!AO7</f>
        <v>0</v>
      </c>
      <c r="M17" s="158">
        <f>'KW 3'!AP7</f>
        <v>0</v>
      </c>
    </row>
    <row r="18" spans="1:13">
      <c r="A18">
        <v>17</v>
      </c>
      <c r="B18">
        <f>'KW 18'!V35</f>
        <v>0</v>
      </c>
      <c r="D18" s="127" t="s">
        <v>132</v>
      </c>
      <c r="E18" s="134">
        <f>'KW 3'!AH8</f>
        <v>0</v>
      </c>
      <c r="F18" s="137">
        <f>'KW 3'!AI8</f>
        <v>0</v>
      </c>
      <c r="G18" s="140">
        <f>'KW 3'!AJ8</f>
        <v>0</v>
      </c>
      <c r="H18" s="143">
        <f>'KW 3'!AK8</f>
        <v>0</v>
      </c>
      <c r="I18" s="146">
        <f>'KW 3'!AL8</f>
        <v>0</v>
      </c>
      <c r="J18" s="149">
        <f>'KW 3'!AM8</f>
        <v>0</v>
      </c>
      <c r="K18" s="152">
        <f>'KW 3'!AN8</f>
        <v>0</v>
      </c>
      <c r="L18" s="155">
        <f>'KW 3'!AO8</f>
        <v>0</v>
      </c>
      <c r="M18" s="158">
        <f>'KW 3'!AP8</f>
        <v>0</v>
      </c>
    </row>
    <row r="19" spans="1:13">
      <c r="A19">
        <v>18</v>
      </c>
      <c r="B19">
        <f>'KW 19'!V35</f>
        <v>0</v>
      </c>
      <c r="D19" s="127" t="s">
        <v>133</v>
      </c>
      <c r="E19" s="134">
        <f>'KW 3'!AH9</f>
        <v>0</v>
      </c>
      <c r="F19" s="137">
        <f>'KW 3'!AI9</f>
        <v>0</v>
      </c>
      <c r="G19" s="140">
        <f>'KW 3'!AJ9</f>
        <v>0</v>
      </c>
      <c r="H19" s="143">
        <f>'KW 3'!AK9</f>
        <v>0</v>
      </c>
      <c r="I19" s="146">
        <f>'KW 3'!AL9</f>
        <v>0</v>
      </c>
      <c r="J19" s="149">
        <f>'KW 3'!AM9</f>
        <v>0</v>
      </c>
      <c r="K19" s="152">
        <f>'KW 3'!AN9</f>
        <v>0</v>
      </c>
      <c r="L19" s="155">
        <f>'KW 3'!AO9</f>
        <v>0</v>
      </c>
      <c r="M19" s="158">
        <f>'KW 3'!AP9</f>
        <v>0</v>
      </c>
    </row>
    <row r="20" spans="1:13">
      <c r="A20">
        <v>19</v>
      </c>
      <c r="B20">
        <f>'KW 20'!V35</f>
        <v>0</v>
      </c>
      <c r="D20" s="127" t="s">
        <v>134</v>
      </c>
      <c r="E20" s="134">
        <f>'KW 3'!AH10</f>
        <v>0</v>
      </c>
      <c r="F20" s="137">
        <f>'KW 3'!AI10</f>
        <v>0</v>
      </c>
      <c r="G20" s="140">
        <f>'KW 3'!AJ10</f>
        <v>0</v>
      </c>
      <c r="H20" s="143">
        <f>'KW 3'!AK10</f>
        <v>0</v>
      </c>
      <c r="I20" s="146">
        <f>'KW 3'!AL10</f>
        <v>0</v>
      </c>
      <c r="J20" s="149">
        <f>'KW 3'!AM10</f>
        <v>0</v>
      </c>
      <c r="K20" s="152">
        <f>'KW 3'!AN10</f>
        <v>0</v>
      </c>
      <c r="L20" s="155">
        <f>'KW 3'!AO10</f>
        <v>0</v>
      </c>
      <c r="M20" s="158">
        <f>'KW 3'!AP10</f>
        <v>0</v>
      </c>
    </row>
    <row r="21" spans="1:13">
      <c r="A21">
        <v>20</v>
      </c>
      <c r="B21">
        <f>'KW 21'!V35</f>
        <v>0</v>
      </c>
      <c r="D21" s="127" t="s">
        <v>135</v>
      </c>
      <c r="E21" s="134">
        <f>'KW 3'!AH11</f>
        <v>0</v>
      </c>
      <c r="F21" s="137">
        <f>'KW 3'!AI11</f>
        <v>0</v>
      </c>
      <c r="G21" s="140">
        <f>'KW 3'!AJ11</f>
        <v>0</v>
      </c>
      <c r="H21" s="143">
        <f>'KW 3'!AK11</f>
        <v>0</v>
      </c>
      <c r="I21" s="146">
        <f>'KW 3'!AL11</f>
        <v>0</v>
      </c>
      <c r="J21" s="149">
        <f>'KW 3'!AM11</f>
        <v>0</v>
      </c>
      <c r="K21" s="152">
        <f>'KW 3'!AN11</f>
        <v>0</v>
      </c>
      <c r="L21" s="155">
        <f>'KW 3'!AO11</f>
        <v>0</v>
      </c>
      <c r="M21" s="158">
        <f>'KW 3'!AP11</f>
        <v>0</v>
      </c>
    </row>
    <row r="22" spans="1:13">
      <c r="A22">
        <v>21</v>
      </c>
      <c r="B22">
        <f>'KW 22'!V35</f>
        <v>0</v>
      </c>
      <c r="D22" s="127" t="s">
        <v>136</v>
      </c>
      <c r="E22" s="134">
        <f>'KW 3'!AH5</f>
        <v>0</v>
      </c>
      <c r="F22" s="137">
        <f>'KW 3'!AI5</f>
        <v>0</v>
      </c>
      <c r="G22" s="140">
        <f>'KW 3'!AJ5</f>
        <v>0</v>
      </c>
      <c r="H22" s="143">
        <f>'KW 3'!AK5</f>
        <v>0</v>
      </c>
      <c r="I22" s="146">
        <f>'KW 3'!AL5</f>
        <v>0</v>
      </c>
      <c r="J22" s="149">
        <f>'KW 3'!AM5</f>
        <v>0</v>
      </c>
      <c r="K22" s="152">
        <f>'KW 3'!AN5</f>
        <v>0</v>
      </c>
      <c r="L22" s="155">
        <f>'KW 3'!AO5</f>
        <v>0</v>
      </c>
      <c r="M22" s="158">
        <f>'KW 3'!AP5</f>
        <v>0</v>
      </c>
    </row>
    <row r="23" spans="1:13">
      <c r="A23">
        <v>22</v>
      </c>
      <c r="B23">
        <f>'KW 23'!V35</f>
        <v>0</v>
      </c>
      <c r="D23" s="127" t="s">
        <v>137</v>
      </c>
      <c r="E23" s="134">
        <f>'KW 4'!AH6</f>
        <v>0</v>
      </c>
      <c r="F23" s="137">
        <f>'KW 4'!AI6</f>
        <v>0</v>
      </c>
      <c r="G23" s="140">
        <f>'KW 4'!AJ6</f>
        <v>0</v>
      </c>
      <c r="H23" s="143">
        <f>'KW 4'!AK6</f>
        <v>0</v>
      </c>
      <c r="I23" s="146">
        <f>'KW 4'!AL6</f>
        <v>0</v>
      </c>
      <c r="J23" s="149">
        <f>'KW 4'!AM6</f>
        <v>0</v>
      </c>
      <c r="K23" s="152">
        <f>'KW 4'!AN6</f>
        <v>0</v>
      </c>
      <c r="L23" s="155">
        <f>'KW 4'!AO6</f>
        <v>0</v>
      </c>
      <c r="M23" s="158">
        <f>'KW 4'!AP6</f>
        <v>0</v>
      </c>
    </row>
    <row r="24" spans="1:13">
      <c r="A24">
        <v>23</v>
      </c>
      <c r="B24">
        <f>'KW 24'!V35</f>
        <v>0</v>
      </c>
      <c r="D24" s="127" t="s">
        <v>138</v>
      </c>
      <c r="E24" s="134">
        <f>'KW 4'!AH7</f>
        <v>0</v>
      </c>
      <c r="F24" s="137">
        <f>'KW 4'!AI7</f>
        <v>0</v>
      </c>
      <c r="G24" s="140">
        <f>'KW 4'!AJ7</f>
        <v>0</v>
      </c>
      <c r="H24" s="143">
        <f>'KW 4'!AK7</f>
        <v>0</v>
      </c>
      <c r="I24" s="146">
        <f>'KW 4'!AL7</f>
        <v>0</v>
      </c>
      <c r="J24" s="149">
        <f>'KW 4'!AM7</f>
        <v>0</v>
      </c>
      <c r="K24" s="152">
        <f>'KW 4'!AN7</f>
        <v>0</v>
      </c>
      <c r="L24" s="155">
        <f>'KW 4'!AO7</f>
        <v>0</v>
      </c>
      <c r="M24" s="158">
        <f>'KW 4'!AP7</f>
        <v>0</v>
      </c>
    </row>
    <row r="25" spans="1:13">
      <c r="A25">
        <v>24</v>
      </c>
      <c r="B25">
        <f>'KW 25'!V35</f>
        <v>0</v>
      </c>
      <c r="D25" s="127" t="s">
        <v>139</v>
      </c>
      <c r="E25" s="134">
        <f>'KW 4'!AH8</f>
        <v>0</v>
      </c>
      <c r="F25" s="137">
        <f>'KW 4'!AI8</f>
        <v>0</v>
      </c>
      <c r="G25" s="140">
        <f>'KW 4'!AJ8</f>
        <v>0</v>
      </c>
      <c r="H25" s="143">
        <f>'KW 4'!AK8</f>
        <v>0</v>
      </c>
      <c r="I25" s="146">
        <f>'KW 4'!AL8</f>
        <v>0</v>
      </c>
      <c r="J25" s="149">
        <f>'KW 4'!AM8</f>
        <v>0</v>
      </c>
      <c r="K25" s="152">
        <f>'KW 4'!AN8</f>
        <v>0</v>
      </c>
      <c r="L25" s="155">
        <f>'KW 4'!AO8</f>
        <v>0</v>
      </c>
      <c r="M25" s="158">
        <f>'KW 4'!AP8</f>
        <v>0</v>
      </c>
    </row>
    <row r="26" spans="1:13">
      <c r="A26">
        <v>25</v>
      </c>
      <c r="B26">
        <f>'KW 26'!V35</f>
        <v>0</v>
      </c>
      <c r="D26" s="127" t="s">
        <v>140</v>
      </c>
      <c r="E26" s="134">
        <f>'KW 4'!AH9</f>
        <v>0</v>
      </c>
      <c r="F26" s="137">
        <f>'KW 4'!AI9</f>
        <v>0</v>
      </c>
      <c r="G26" s="140">
        <f>'KW 4'!AJ9</f>
        <v>0</v>
      </c>
      <c r="H26" s="143">
        <f>'KW 4'!AK9</f>
        <v>0</v>
      </c>
      <c r="I26" s="146">
        <f>'KW 4'!AL9</f>
        <v>0</v>
      </c>
      <c r="J26" s="149">
        <f>'KW 4'!AM9</f>
        <v>0</v>
      </c>
      <c r="K26" s="152">
        <f>'KW 4'!AN9</f>
        <v>0</v>
      </c>
      <c r="L26" s="155">
        <f>'KW 4'!AO9</f>
        <v>0</v>
      </c>
      <c r="M26" s="158">
        <f>'KW 4'!AP9</f>
        <v>0</v>
      </c>
    </row>
    <row r="27" spans="1:13">
      <c r="A27">
        <v>26</v>
      </c>
      <c r="B27">
        <f>'KW 27'!V35</f>
        <v>0</v>
      </c>
      <c r="D27" s="127" t="s">
        <v>141</v>
      </c>
      <c r="E27" s="134">
        <f>'KW 4'!AH10</f>
        <v>0</v>
      </c>
      <c r="F27" s="137">
        <f>'KW 4'!AI10</f>
        <v>0</v>
      </c>
      <c r="G27" s="140">
        <f>'KW 4'!AJ10</f>
        <v>0</v>
      </c>
      <c r="H27" s="143">
        <f>'KW 4'!AK10</f>
        <v>0</v>
      </c>
      <c r="I27" s="146">
        <f>'KW 4'!AL10</f>
        <v>0</v>
      </c>
      <c r="J27" s="149">
        <f>'KW 4'!AM10</f>
        <v>0</v>
      </c>
      <c r="K27" s="152">
        <f>'KW 4'!AN10</f>
        <v>0</v>
      </c>
      <c r="L27" s="155">
        <f>'KW 4'!AO10</f>
        <v>0</v>
      </c>
      <c r="M27" s="158">
        <f>'KW 4'!AP10</f>
        <v>0</v>
      </c>
    </row>
    <row r="28" spans="1:13">
      <c r="A28">
        <v>27</v>
      </c>
      <c r="B28">
        <f>'KW 28'!V35</f>
        <v>0</v>
      </c>
      <c r="D28" s="127" t="s">
        <v>142</v>
      </c>
      <c r="E28" s="134">
        <f>'KW 4'!AH11</f>
        <v>0</v>
      </c>
      <c r="F28" s="137">
        <f>'KW 4'!AI11</f>
        <v>0</v>
      </c>
      <c r="G28" s="140">
        <f>'KW 4'!AJ11</f>
        <v>0</v>
      </c>
      <c r="H28" s="143">
        <f>'KW 4'!AK11</f>
        <v>0</v>
      </c>
      <c r="I28" s="146">
        <f>'KW 4'!AL11</f>
        <v>0</v>
      </c>
      <c r="J28" s="149">
        <f>'KW 4'!AM11</f>
        <v>0</v>
      </c>
      <c r="K28" s="152">
        <f>'KW 4'!AN11</f>
        <v>0</v>
      </c>
      <c r="L28" s="155">
        <f>'KW 4'!AO11</f>
        <v>0</v>
      </c>
      <c r="M28" s="158">
        <f>'KW 4'!AP11</f>
        <v>0</v>
      </c>
    </row>
    <row r="29" spans="1:13">
      <c r="A29">
        <v>28</v>
      </c>
      <c r="B29">
        <f>'KW 29'!V35</f>
        <v>0</v>
      </c>
      <c r="D29" s="127" t="s">
        <v>143</v>
      </c>
      <c r="E29" s="134">
        <f>'KW 4'!AH5</f>
        <v>0</v>
      </c>
      <c r="F29" s="137">
        <f>'KW 4'!AI5</f>
        <v>0</v>
      </c>
      <c r="G29" s="140">
        <f>'KW 4'!AJ5</f>
        <v>0</v>
      </c>
      <c r="H29" s="143">
        <f>'KW 4'!AK5</f>
        <v>0</v>
      </c>
      <c r="I29" s="146">
        <f>'KW 4'!AL5</f>
        <v>0</v>
      </c>
      <c r="J29" s="149">
        <f>'KW 4'!AM5</f>
        <v>0</v>
      </c>
      <c r="K29" s="152">
        <f>'KW 4'!AN5</f>
        <v>0</v>
      </c>
      <c r="L29" s="155">
        <f>'KW 4'!AO5</f>
        <v>0</v>
      </c>
      <c r="M29" s="158">
        <f>'KW 4'!AP5</f>
        <v>0</v>
      </c>
    </row>
    <row r="30" spans="1:13">
      <c r="A30">
        <v>29</v>
      </c>
      <c r="B30">
        <f>'KW 30'!V35</f>
        <v>0</v>
      </c>
      <c r="D30" s="127" t="s">
        <v>144</v>
      </c>
      <c r="E30" s="134">
        <f>'KW 5'!AH6</f>
        <v>0</v>
      </c>
      <c r="F30" s="137">
        <f>'KW 5'!AI6</f>
        <v>0</v>
      </c>
      <c r="G30" s="140">
        <f>'KW 5'!AJ6</f>
        <v>0</v>
      </c>
      <c r="H30" s="143">
        <f>'KW 5'!AK6</f>
        <v>0</v>
      </c>
      <c r="I30" s="146">
        <f>'KW 5'!AL6</f>
        <v>0</v>
      </c>
      <c r="J30" s="149">
        <f>'KW 5'!AM6</f>
        <v>0</v>
      </c>
      <c r="K30" s="152">
        <f>'KW 5'!AN6</f>
        <v>0</v>
      </c>
      <c r="L30" s="155">
        <f>'KW 5'!AO6</f>
        <v>0</v>
      </c>
      <c r="M30" s="158">
        <f>'KW 5'!AP6</f>
        <v>0</v>
      </c>
    </row>
    <row r="31" spans="1:13">
      <c r="A31">
        <v>30</v>
      </c>
      <c r="B31">
        <f>'KW 31'!V35</f>
        <v>0</v>
      </c>
      <c r="D31" s="127" t="s">
        <v>145</v>
      </c>
      <c r="E31" s="134">
        <f>'KW 5'!AH7</f>
        <v>0</v>
      </c>
      <c r="F31" s="137">
        <f>'KW 5'!AI7</f>
        <v>0</v>
      </c>
      <c r="G31" s="140">
        <f>'KW 5'!AJ7</f>
        <v>0</v>
      </c>
      <c r="H31" s="143">
        <f>'KW 5'!AK7</f>
        <v>0</v>
      </c>
      <c r="I31" s="146">
        <f>'KW 5'!AL7</f>
        <v>0</v>
      </c>
      <c r="J31" s="149">
        <f>'KW 5'!AM7</f>
        <v>0</v>
      </c>
      <c r="K31" s="152">
        <f>'KW 5'!AN7</f>
        <v>0</v>
      </c>
      <c r="L31" s="155">
        <f>'KW 5'!AO7</f>
        <v>0</v>
      </c>
      <c r="M31" s="158">
        <f>'KW 5'!AP7</f>
        <v>0</v>
      </c>
    </row>
    <row r="32" spans="1:13">
      <c r="A32">
        <v>31</v>
      </c>
      <c r="B32">
        <f>'KW 32'!V35</f>
        <v>0</v>
      </c>
      <c r="D32" s="127" t="s">
        <v>146</v>
      </c>
      <c r="E32" s="134">
        <f>'KW 5'!AH8</f>
        <v>0</v>
      </c>
      <c r="F32" s="137">
        <f>'KW 5'!AI8</f>
        <v>0</v>
      </c>
      <c r="G32" s="140">
        <f>'KW 5'!AJ8</f>
        <v>0</v>
      </c>
      <c r="H32" s="143">
        <f>'KW 5'!AK8</f>
        <v>0</v>
      </c>
      <c r="I32" s="146">
        <f>'KW 5'!AL8</f>
        <v>0</v>
      </c>
      <c r="J32" s="149">
        <f>'KW 5'!AM8</f>
        <v>0</v>
      </c>
      <c r="K32" s="152">
        <f>'KW 5'!AN8</f>
        <v>0</v>
      </c>
      <c r="L32" s="155">
        <f>'KW 5'!AO8</f>
        <v>0</v>
      </c>
      <c r="M32" s="158">
        <f>'KW 5'!AP8</f>
        <v>0</v>
      </c>
    </row>
    <row r="33" spans="1:13">
      <c r="A33">
        <v>32</v>
      </c>
      <c r="B33">
        <f>'KW 33'!V35</f>
        <v>0</v>
      </c>
      <c r="D33" s="130" t="s">
        <v>147</v>
      </c>
      <c r="E33" s="135">
        <f>'KW 5'!AH9</f>
        <v>0</v>
      </c>
      <c r="F33" s="138">
        <f>'KW 5'!AI9</f>
        <v>0</v>
      </c>
      <c r="G33" s="141">
        <f>'KW 5'!AJ9</f>
        <v>0</v>
      </c>
      <c r="H33" s="144">
        <f>'KW 5'!AK9</f>
        <v>0</v>
      </c>
      <c r="I33" s="147">
        <f>'KW 5'!AL9</f>
        <v>0</v>
      </c>
      <c r="J33" s="150">
        <f>'KW 5'!AM9</f>
        <v>0</v>
      </c>
      <c r="K33" s="153">
        <f>'KW 5'!AN9</f>
        <v>0</v>
      </c>
      <c r="L33" s="156">
        <f>'KW 5'!AO9</f>
        <v>0</v>
      </c>
      <c r="M33" s="159">
        <f>'KW 5'!AP9</f>
        <v>0</v>
      </c>
    </row>
    <row r="34" spans="1:13">
      <c r="A34">
        <v>33</v>
      </c>
      <c r="B34">
        <f>'KW 34'!V35</f>
        <v>0</v>
      </c>
      <c r="D34" s="130" t="s">
        <v>148</v>
      </c>
      <c r="E34" s="135">
        <f>'KW 5'!AH10</f>
        <v>0</v>
      </c>
      <c r="F34" s="138">
        <f>'KW 5'!AI10</f>
        <v>0</v>
      </c>
      <c r="G34" s="141">
        <f>'KW 5'!AJ10</f>
        <v>0</v>
      </c>
      <c r="H34" s="144">
        <f>'KW 5'!AK10</f>
        <v>0</v>
      </c>
      <c r="I34" s="147">
        <f>'KW 5'!AL10</f>
        <v>0</v>
      </c>
      <c r="J34" s="150">
        <f>'KW 5'!AM10</f>
        <v>0</v>
      </c>
      <c r="K34" s="153">
        <f>'KW 5'!AN10</f>
        <v>0</v>
      </c>
      <c r="L34" s="156">
        <f>'KW 5'!AO10</f>
        <v>0</v>
      </c>
      <c r="M34" s="159">
        <f>'KW 5'!AP10</f>
        <v>0</v>
      </c>
    </row>
    <row r="35" spans="1:13">
      <c r="A35">
        <v>34</v>
      </c>
      <c r="B35">
        <f>'KW 35'!V35</f>
        <v>0</v>
      </c>
      <c r="D35" s="130" t="s">
        <v>149</v>
      </c>
      <c r="E35" s="135">
        <f>'KW 5'!AH11</f>
        <v>0</v>
      </c>
      <c r="F35" s="138">
        <f>'KW 5'!AI11</f>
        <v>0</v>
      </c>
      <c r="G35" s="141">
        <f>'KW 5'!AJ11</f>
        <v>0</v>
      </c>
      <c r="H35" s="144">
        <f>'KW 5'!AK11</f>
        <v>0</v>
      </c>
      <c r="I35" s="147">
        <f>'KW 5'!AL11</f>
        <v>0</v>
      </c>
      <c r="J35" s="150">
        <f>'KW 5'!AM11</f>
        <v>0</v>
      </c>
      <c r="K35" s="153">
        <f>'KW 5'!AN11</f>
        <v>0</v>
      </c>
      <c r="L35" s="156">
        <f>'KW 5'!AO11</f>
        <v>0</v>
      </c>
      <c r="M35" s="159">
        <f>'KW 5'!AP11</f>
        <v>0</v>
      </c>
    </row>
    <row r="36" spans="1:13">
      <c r="A36">
        <v>35</v>
      </c>
      <c r="B36">
        <f>'KW 36'!V35</f>
        <v>0</v>
      </c>
      <c r="D36" s="130" t="s">
        <v>150</v>
      </c>
      <c r="E36" s="135">
        <f>'KW 5'!AH5</f>
        <v>0</v>
      </c>
      <c r="F36" s="138">
        <f>'KW 5'!AI5</f>
        <v>0</v>
      </c>
      <c r="G36" s="141">
        <f>'KW 5'!AJ5</f>
        <v>0</v>
      </c>
      <c r="H36" s="144">
        <f>'KW 5'!AK5</f>
        <v>0</v>
      </c>
      <c r="I36" s="147">
        <f>'KW 5'!AL5</f>
        <v>0</v>
      </c>
      <c r="J36" s="150">
        <f>'KW 5'!AM5</f>
        <v>0</v>
      </c>
      <c r="K36" s="153">
        <f>'KW 5'!AN5</f>
        <v>0</v>
      </c>
      <c r="L36" s="156">
        <f>'KW 5'!AO5</f>
        <v>0</v>
      </c>
      <c r="M36" s="159">
        <f>'KW 5'!AP5</f>
        <v>0</v>
      </c>
    </row>
    <row r="37" spans="1:13">
      <c r="A37">
        <v>36</v>
      </c>
      <c r="B37">
        <f>'KW 37'!V35</f>
        <v>0</v>
      </c>
      <c r="D37" s="130" t="s">
        <v>151</v>
      </c>
      <c r="E37" s="135">
        <f>'KW 6'!AH6</f>
        <v>0</v>
      </c>
      <c r="F37" s="138">
        <f>'KW 6'!AI6</f>
        <v>0</v>
      </c>
      <c r="G37" s="141">
        <f>'KW 6'!AJ6</f>
        <v>0</v>
      </c>
      <c r="H37" s="144">
        <f>'KW 6'!AK6</f>
        <v>0</v>
      </c>
      <c r="I37" s="147">
        <f>'KW 6'!AL6</f>
        <v>0</v>
      </c>
      <c r="J37" s="150">
        <f>'KW 6'!AM6</f>
        <v>0</v>
      </c>
      <c r="K37" s="153">
        <f>'KW 6'!AN6</f>
        <v>0</v>
      </c>
      <c r="L37" s="156">
        <f>'KW 6'!AO6</f>
        <v>0</v>
      </c>
      <c r="M37" s="159">
        <f>'KW 6'!AP6</f>
        <v>0</v>
      </c>
    </row>
    <row r="38" spans="1:13">
      <c r="A38">
        <v>37</v>
      </c>
      <c r="B38">
        <f>'KW 38'!V35</f>
        <v>0</v>
      </c>
      <c r="D38" s="130" t="s">
        <v>152</v>
      </c>
      <c r="E38" s="135">
        <f>'KW 6'!AH7</f>
        <v>0</v>
      </c>
      <c r="F38" s="138">
        <f>'KW 6'!AI7</f>
        <v>0</v>
      </c>
      <c r="G38" s="141">
        <f>'KW 6'!AJ7</f>
        <v>0</v>
      </c>
      <c r="H38" s="144">
        <f>'KW 6'!AK7</f>
        <v>0</v>
      </c>
      <c r="I38" s="147">
        <f>'KW 6'!AL7</f>
        <v>0</v>
      </c>
      <c r="J38" s="150">
        <f>'KW 6'!AM7</f>
        <v>0</v>
      </c>
      <c r="K38" s="153">
        <f>'KW 6'!AN7</f>
        <v>0</v>
      </c>
      <c r="L38" s="156">
        <f>'KW 6'!AO7</f>
        <v>0</v>
      </c>
      <c r="M38" s="159">
        <f>'KW 6'!AP7</f>
        <v>0</v>
      </c>
    </row>
    <row r="39" spans="1:13">
      <c r="A39">
        <v>38</v>
      </c>
      <c r="B39">
        <f>'KW 39'!V35</f>
        <v>0</v>
      </c>
      <c r="D39" s="130" t="s">
        <v>153</v>
      </c>
      <c r="E39" s="135">
        <f>'KW 6'!AH8</f>
        <v>0</v>
      </c>
      <c r="F39" s="138">
        <f>'KW 6'!AI8</f>
        <v>0</v>
      </c>
      <c r="G39" s="141">
        <f>'KW 6'!AJ8</f>
        <v>0</v>
      </c>
      <c r="H39" s="144">
        <f>'KW 6'!AK8</f>
        <v>0</v>
      </c>
      <c r="I39" s="147">
        <f>'KW 6'!AL8</f>
        <v>0</v>
      </c>
      <c r="J39" s="150">
        <f>'KW 6'!AM8</f>
        <v>0</v>
      </c>
      <c r="K39" s="153">
        <f>'KW 6'!AN8</f>
        <v>0</v>
      </c>
      <c r="L39" s="156">
        <f>'KW 6'!AO8</f>
        <v>0</v>
      </c>
      <c r="M39" s="159">
        <f>'KW 6'!AP8</f>
        <v>0</v>
      </c>
    </row>
    <row r="40" spans="1:13">
      <c r="A40">
        <v>39</v>
      </c>
      <c r="B40">
        <f>'KW 40'!V35</f>
        <v>0</v>
      </c>
      <c r="D40" s="130" t="s">
        <v>154</v>
      </c>
      <c r="E40" s="135">
        <f>'KW 6'!AH9</f>
        <v>0</v>
      </c>
      <c r="F40" s="138">
        <f>'KW 6'!AI9</f>
        <v>0</v>
      </c>
      <c r="G40" s="141">
        <f>'KW 6'!AJ9</f>
        <v>0</v>
      </c>
      <c r="H40" s="144">
        <f>'KW 6'!AK9</f>
        <v>0</v>
      </c>
      <c r="I40" s="147">
        <f>'KW 6'!AL9</f>
        <v>0</v>
      </c>
      <c r="J40" s="150">
        <f>'KW 6'!AM9</f>
        <v>0</v>
      </c>
      <c r="K40" s="153">
        <f>'KW 6'!AN9</f>
        <v>0</v>
      </c>
      <c r="L40" s="156">
        <f>'KW 6'!AO9</f>
        <v>0</v>
      </c>
      <c r="M40" s="159">
        <f>'KW 6'!AP9</f>
        <v>0</v>
      </c>
    </row>
    <row r="41" spans="1:13">
      <c r="A41">
        <v>40</v>
      </c>
      <c r="B41">
        <f>'KW 41'!V35</f>
        <v>0</v>
      </c>
      <c r="D41" s="130" t="s">
        <v>155</v>
      </c>
      <c r="E41" s="135">
        <f>'KW 6'!AH10</f>
        <v>0</v>
      </c>
      <c r="F41" s="138">
        <f>'KW 6'!AI10</f>
        <v>0</v>
      </c>
      <c r="G41" s="141">
        <f>'KW 6'!AJ10</f>
        <v>0</v>
      </c>
      <c r="H41" s="144">
        <f>'KW 6'!AK10</f>
        <v>0</v>
      </c>
      <c r="I41" s="147">
        <f>'KW 6'!AL10</f>
        <v>0</v>
      </c>
      <c r="J41" s="150">
        <f>'KW 6'!AM10</f>
        <v>0</v>
      </c>
      <c r="K41" s="153">
        <f>'KW 6'!AN10</f>
        <v>0</v>
      </c>
      <c r="L41" s="156">
        <f>'KW 6'!AO10</f>
        <v>0</v>
      </c>
      <c r="M41" s="159">
        <f>'KW 6'!AP10</f>
        <v>0</v>
      </c>
    </row>
    <row r="42" spans="1:13">
      <c r="A42">
        <v>41</v>
      </c>
      <c r="B42">
        <f>'KW 42'!V35</f>
        <v>0</v>
      </c>
      <c r="D42" s="130" t="s">
        <v>156</v>
      </c>
      <c r="E42" s="135">
        <f>'KW 6'!AH11</f>
        <v>0</v>
      </c>
      <c r="F42" s="138">
        <f>'KW 6'!AI11</f>
        <v>0</v>
      </c>
      <c r="G42" s="141">
        <f>'KW 6'!AJ11</f>
        <v>0</v>
      </c>
      <c r="H42" s="144">
        <f>'KW 6'!AK11</f>
        <v>0</v>
      </c>
      <c r="I42" s="147">
        <f>'KW 6'!AL11</f>
        <v>0</v>
      </c>
      <c r="J42" s="150">
        <f>'KW 6'!AM11</f>
        <v>0</v>
      </c>
      <c r="K42" s="153">
        <f>'KW 6'!AN11</f>
        <v>0</v>
      </c>
      <c r="L42" s="156">
        <f>'KW 6'!AO11</f>
        <v>0</v>
      </c>
      <c r="M42" s="159">
        <f>'KW 6'!AP11</f>
        <v>0</v>
      </c>
    </row>
    <row r="43" spans="1:13">
      <c r="A43">
        <v>42</v>
      </c>
      <c r="B43">
        <f>'KW 43'!V35</f>
        <v>0</v>
      </c>
      <c r="D43" s="130" t="s">
        <v>157</v>
      </c>
      <c r="E43" s="135">
        <f>'KW 6'!AH5</f>
        <v>0</v>
      </c>
      <c r="F43" s="138">
        <f>'KW 6'!AI5</f>
        <v>0</v>
      </c>
      <c r="G43" s="141">
        <f>'KW 6'!AJ5</f>
        <v>0</v>
      </c>
      <c r="H43" s="144">
        <f>'KW 6'!AK5</f>
        <v>0</v>
      </c>
      <c r="I43" s="147">
        <f>'KW 6'!AL5</f>
        <v>0</v>
      </c>
      <c r="J43" s="150">
        <f>'KW 6'!AM5</f>
        <v>0</v>
      </c>
      <c r="K43" s="153">
        <f>'KW 6'!AN5</f>
        <v>0</v>
      </c>
      <c r="L43" s="156">
        <f>'KW 6'!AO5</f>
        <v>0</v>
      </c>
      <c r="M43" s="159">
        <f>'KW 6'!AP5</f>
        <v>0</v>
      </c>
    </row>
    <row r="44" spans="1:13">
      <c r="A44">
        <v>43</v>
      </c>
      <c r="B44">
        <f>'KW 44'!V35</f>
        <v>0</v>
      </c>
      <c r="D44" s="130" t="s">
        <v>158</v>
      </c>
      <c r="E44" s="135">
        <f>'KW 7'!AH6</f>
        <v>0</v>
      </c>
      <c r="F44" s="138">
        <f>'KW 7'!AI6</f>
        <v>0</v>
      </c>
      <c r="G44" s="141">
        <f>'KW 7'!AJ6</f>
        <v>0</v>
      </c>
      <c r="H44" s="144">
        <f>'KW 7'!AK6</f>
        <v>0</v>
      </c>
      <c r="I44" s="147">
        <f>'KW 7'!AL6</f>
        <v>0</v>
      </c>
      <c r="J44" s="150">
        <f>'KW 7'!AM6</f>
        <v>0</v>
      </c>
      <c r="K44" s="153">
        <f>'KW 7'!AN6</f>
        <v>0</v>
      </c>
      <c r="L44" s="156">
        <f>'KW 7'!AO6</f>
        <v>0</v>
      </c>
      <c r="M44" s="159">
        <f>'KW 7'!AP6</f>
        <v>0</v>
      </c>
    </row>
    <row r="45" spans="1:13">
      <c r="A45">
        <v>44</v>
      </c>
      <c r="B45">
        <f>'KW 45'!V35</f>
        <v>0</v>
      </c>
      <c r="D45" s="130" t="s">
        <v>159</v>
      </c>
      <c r="E45" s="135">
        <f>'KW 7'!AH7</f>
        <v>0</v>
      </c>
      <c r="F45" s="138">
        <f>'KW 7'!AI7</f>
        <v>0</v>
      </c>
      <c r="G45" s="141">
        <f>'KW 7'!AJ7</f>
        <v>0</v>
      </c>
      <c r="H45" s="144">
        <f>'KW 7'!AK7</f>
        <v>0</v>
      </c>
      <c r="I45" s="147">
        <f>'KW 7'!AL7</f>
        <v>0</v>
      </c>
      <c r="J45" s="150">
        <f>'KW 7'!AM7</f>
        <v>0</v>
      </c>
      <c r="K45" s="153">
        <f>'KW 7'!AN7</f>
        <v>0</v>
      </c>
      <c r="L45" s="156">
        <f>'KW 7'!AO7</f>
        <v>0</v>
      </c>
      <c r="M45" s="159">
        <f>'KW 7'!AP7</f>
        <v>0</v>
      </c>
    </row>
    <row r="46" spans="1:13">
      <c r="A46">
        <v>45</v>
      </c>
      <c r="B46">
        <f>'KW 46'!V35</f>
        <v>0</v>
      </c>
      <c r="D46" s="130" t="s">
        <v>160</v>
      </c>
      <c r="E46" s="135">
        <f>'KW 7'!AH8</f>
        <v>0</v>
      </c>
      <c r="F46" s="138">
        <f>'KW 7'!AI8</f>
        <v>0</v>
      </c>
      <c r="G46" s="141">
        <f>'KW 7'!AJ8</f>
        <v>0</v>
      </c>
      <c r="H46" s="144">
        <f>'KW 7'!AK8</f>
        <v>0</v>
      </c>
      <c r="I46" s="147">
        <f>'KW 7'!AL8</f>
        <v>0</v>
      </c>
      <c r="J46" s="150">
        <f>'KW 7'!AM8</f>
        <v>0</v>
      </c>
      <c r="K46" s="153">
        <f>'KW 7'!AN8</f>
        <v>0</v>
      </c>
      <c r="L46" s="156">
        <f>'KW 7'!AO8</f>
        <v>0</v>
      </c>
      <c r="M46" s="159">
        <f>'KW 7'!AP8</f>
        <v>0</v>
      </c>
    </row>
    <row r="47" spans="1:13">
      <c r="A47">
        <v>46</v>
      </c>
      <c r="B47">
        <f>'KW 47'!V35</f>
        <v>0</v>
      </c>
      <c r="D47" s="130" t="s">
        <v>161</v>
      </c>
      <c r="E47" s="135">
        <f>'KW 7'!AH9</f>
        <v>0</v>
      </c>
      <c r="F47" s="138">
        <f>'KW 7'!AI9</f>
        <v>0</v>
      </c>
      <c r="G47" s="141">
        <f>'KW 7'!AJ9</f>
        <v>0</v>
      </c>
      <c r="H47" s="144">
        <f>'KW 7'!AK9</f>
        <v>0</v>
      </c>
      <c r="I47" s="147">
        <f>'KW 7'!AL9</f>
        <v>0</v>
      </c>
      <c r="J47" s="150">
        <f>'KW 7'!AM9</f>
        <v>0</v>
      </c>
      <c r="K47" s="153">
        <f>'KW 7'!AN9</f>
        <v>0</v>
      </c>
      <c r="L47" s="156">
        <f>'KW 7'!AO9</f>
        <v>0</v>
      </c>
      <c r="M47" s="159">
        <f>'KW 7'!AP9</f>
        <v>0</v>
      </c>
    </row>
    <row r="48" spans="1:13">
      <c r="A48">
        <v>47</v>
      </c>
      <c r="B48">
        <f>'KW 48'!V35</f>
        <v>0</v>
      </c>
      <c r="D48" s="130" t="s">
        <v>162</v>
      </c>
      <c r="E48" s="135">
        <f>'KW 7'!AH10</f>
        <v>0</v>
      </c>
      <c r="F48" s="138">
        <f>'KW 7'!AI10</f>
        <v>0</v>
      </c>
      <c r="G48" s="141">
        <f>'KW 7'!AJ10</f>
        <v>0</v>
      </c>
      <c r="H48" s="144">
        <f>'KW 7'!AK10</f>
        <v>0</v>
      </c>
      <c r="I48" s="147">
        <f>'KW 7'!AL10</f>
        <v>0</v>
      </c>
      <c r="J48" s="150">
        <f>'KW 7'!AM10</f>
        <v>0</v>
      </c>
      <c r="K48" s="153">
        <f>'KW 7'!AN10</f>
        <v>0</v>
      </c>
      <c r="L48" s="156">
        <f>'KW 7'!AO10</f>
        <v>0</v>
      </c>
      <c r="M48" s="159">
        <f>'KW 7'!AP10</f>
        <v>0</v>
      </c>
    </row>
    <row r="49" spans="1:13">
      <c r="A49">
        <v>48</v>
      </c>
      <c r="B49">
        <f>'KW 49'!V35</f>
        <v>0</v>
      </c>
      <c r="D49" s="130" t="s">
        <v>163</v>
      </c>
      <c r="E49" s="135">
        <f>'KW 7'!AH11</f>
        <v>0</v>
      </c>
      <c r="F49" s="138">
        <f>'KW 7'!AI11</f>
        <v>0</v>
      </c>
      <c r="G49" s="141">
        <f>'KW 7'!AJ11</f>
        <v>0</v>
      </c>
      <c r="H49" s="144">
        <f>'KW 7'!AK11</f>
        <v>0</v>
      </c>
      <c r="I49" s="147">
        <f>'KW 7'!AL11</f>
        <v>0</v>
      </c>
      <c r="J49" s="150">
        <f>'KW 7'!AM11</f>
        <v>0</v>
      </c>
      <c r="K49" s="153">
        <f>'KW 7'!AN11</f>
        <v>0</v>
      </c>
      <c r="L49" s="156">
        <f>'KW 7'!AO11</f>
        <v>0</v>
      </c>
      <c r="M49" s="159">
        <f>'KW 7'!AP11</f>
        <v>0</v>
      </c>
    </row>
    <row r="50" spans="1:13">
      <c r="A50">
        <v>49</v>
      </c>
      <c r="B50">
        <f>'KW 50'!V35</f>
        <v>0</v>
      </c>
      <c r="D50" s="130" t="s">
        <v>164</v>
      </c>
      <c r="E50" s="135">
        <f>'KW 7'!AH5</f>
        <v>0</v>
      </c>
      <c r="F50" s="138">
        <f>'KW 7'!AI5</f>
        <v>0</v>
      </c>
      <c r="G50" s="141">
        <f>'KW 7'!AJ5</f>
        <v>0</v>
      </c>
      <c r="H50" s="144">
        <f>'KW 7'!AK5</f>
        <v>0</v>
      </c>
      <c r="I50" s="147">
        <f>'KW 7'!AL5</f>
        <v>0</v>
      </c>
      <c r="J50" s="150">
        <f>'KW 7'!AM5</f>
        <v>0</v>
      </c>
      <c r="K50" s="153">
        <f>'KW 7'!AN5</f>
        <v>0</v>
      </c>
      <c r="L50" s="156">
        <f>'KW 7'!AO5</f>
        <v>0</v>
      </c>
      <c r="M50" s="159">
        <f>'KW 7'!AP5</f>
        <v>0</v>
      </c>
    </row>
    <row r="51" spans="1:13">
      <c r="A51">
        <v>50</v>
      </c>
      <c r="B51">
        <f>'KW 51'!V35</f>
        <v>0</v>
      </c>
      <c r="D51" s="130" t="s">
        <v>165</v>
      </c>
      <c r="E51" s="135">
        <f>'KW 8'!AH6</f>
        <v>0</v>
      </c>
      <c r="F51" s="138">
        <f>'KW 8'!AI6</f>
        <v>0</v>
      </c>
      <c r="G51" s="141">
        <f>'KW 8'!AJ6</f>
        <v>0</v>
      </c>
      <c r="H51" s="144">
        <f>'KW 8'!AK6</f>
        <v>0</v>
      </c>
      <c r="I51" s="147">
        <f>'KW 8'!AL6</f>
        <v>0</v>
      </c>
      <c r="J51" s="150">
        <f>'KW 8'!AM6</f>
        <v>0</v>
      </c>
      <c r="K51" s="153">
        <f>'KW 8'!AN6</f>
        <v>0</v>
      </c>
      <c r="L51" s="156">
        <f>'KW 8'!AO6</f>
        <v>0</v>
      </c>
      <c r="M51" s="159">
        <f>'KW 8'!AP6</f>
        <v>0</v>
      </c>
    </row>
    <row r="52" spans="1:13">
      <c r="A52">
        <v>51</v>
      </c>
      <c r="B52">
        <f>'KW 52'!V35</f>
        <v>0</v>
      </c>
      <c r="D52" s="130" t="s">
        <v>166</v>
      </c>
      <c r="E52" s="135">
        <f>'KW 8'!AH7</f>
        <v>0</v>
      </c>
      <c r="F52" s="138">
        <f>'KW 8'!AI7</f>
        <v>0</v>
      </c>
      <c r="G52" s="141">
        <f>'KW 8'!AJ7</f>
        <v>0</v>
      </c>
      <c r="H52" s="144">
        <f>'KW 8'!AK7</f>
        <v>0</v>
      </c>
      <c r="I52" s="147">
        <f>'KW 8'!AL7</f>
        <v>0</v>
      </c>
      <c r="J52" s="150">
        <f>'KW 8'!AM7</f>
        <v>0</v>
      </c>
      <c r="K52" s="153">
        <f>'KW 8'!AN7</f>
        <v>0</v>
      </c>
      <c r="L52" s="156">
        <f>'KW 8'!AO7</f>
        <v>0</v>
      </c>
      <c r="M52" s="159">
        <f>'KW 8'!AP7</f>
        <v>0</v>
      </c>
    </row>
    <row r="53" spans="1:13">
      <c r="A53">
        <v>52</v>
      </c>
      <c r="B53">
        <f>'KW 53'!V35</f>
        <v>0</v>
      </c>
      <c r="D53" s="130" t="s">
        <v>167</v>
      </c>
      <c r="E53" s="135">
        <f>'KW 8'!AH8</f>
        <v>0</v>
      </c>
      <c r="F53" s="138">
        <f>'KW 8'!AI8</f>
        <v>0</v>
      </c>
      <c r="G53" s="141">
        <f>'KW 8'!AJ8</f>
        <v>0</v>
      </c>
      <c r="H53" s="144">
        <f>'KW 8'!AK8</f>
        <v>0</v>
      </c>
      <c r="I53" s="147">
        <f>'KW 8'!AL8</f>
        <v>0</v>
      </c>
      <c r="J53" s="150">
        <f>'KW 8'!AM8</f>
        <v>0</v>
      </c>
      <c r="K53" s="153">
        <f>'KW 8'!AN8</f>
        <v>0</v>
      </c>
      <c r="L53" s="156">
        <f>'KW 8'!AO8</f>
        <v>0</v>
      </c>
      <c r="M53" s="159">
        <f>'KW 8'!AP8</f>
        <v>0</v>
      </c>
    </row>
    <row r="54" spans="1:13">
      <c r="A54">
        <v>53</v>
      </c>
      <c r="D54" s="130" t="s">
        <v>168</v>
      </c>
      <c r="E54" s="135">
        <f>'KW 8'!AH9</f>
        <v>0</v>
      </c>
      <c r="F54" s="138">
        <f>'KW 8'!AI9</f>
        <v>0</v>
      </c>
      <c r="G54" s="141">
        <f>'KW 8'!AJ9</f>
        <v>0</v>
      </c>
      <c r="H54" s="144">
        <f>'KW 8'!AK9</f>
        <v>0</v>
      </c>
      <c r="I54" s="147">
        <f>'KW 8'!AL9</f>
        <v>0</v>
      </c>
      <c r="J54" s="150">
        <f>'KW 8'!AM9</f>
        <v>0</v>
      </c>
      <c r="K54" s="153">
        <f>'KW 8'!AN9</f>
        <v>0</v>
      </c>
      <c r="L54" s="156">
        <f>'KW 8'!AO9</f>
        <v>0</v>
      </c>
      <c r="M54" s="159">
        <f>'KW 8'!AP9</f>
        <v>0</v>
      </c>
    </row>
    <row r="55" spans="1:13">
      <c r="D55" s="130" t="s">
        <v>169</v>
      </c>
      <c r="E55" s="135">
        <f>'KW 8'!AH10</f>
        <v>0</v>
      </c>
      <c r="F55" s="138">
        <f>'KW 8'!AI10</f>
        <v>0</v>
      </c>
      <c r="G55" s="141">
        <f>'KW 8'!AJ10</f>
        <v>0</v>
      </c>
      <c r="H55" s="144">
        <f>'KW 8'!AK10</f>
        <v>0</v>
      </c>
      <c r="I55" s="147">
        <f>'KW 8'!AL10</f>
        <v>0</v>
      </c>
      <c r="J55" s="150">
        <f>'KW 8'!AM10</f>
        <v>0</v>
      </c>
      <c r="K55" s="153">
        <f>'KW 8'!AN10</f>
        <v>0</v>
      </c>
      <c r="L55" s="156">
        <f>'KW 8'!AO10</f>
        <v>0</v>
      </c>
      <c r="M55" s="159">
        <f>'KW 8'!AP10</f>
        <v>0</v>
      </c>
    </row>
    <row r="56" spans="1:13">
      <c r="D56" s="130" t="s">
        <v>170</v>
      </c>
      <c r="E56" s="135">
        <f>'KW 8'!AH11</f>
        <v>0</v>
      </c>
      <c r="F56" s="138">
        <f>'KW 8'!AI11</f>
        <v>0</v>
      </c>
      <c r="G56" s="141">
        <f>'KW 8'!AJ11</f>
        <v>0</v>
      </c>
      <c r="H56" s="144">
        <f>'KW 8'!AK11</f>
        <v>0</v>
      </c>
      <c r="I56" s="147">
        <f>'KW 8'!AL11</f>
        <v>0</v>
      </c>
      <c r="J56" s="150">
        <f>'KW 8'!AM11</f>
        <v>0</v>
      </c>
      <c r="K56" s="153">
        <f>'KW 8'!AN11</f>
        <v>0</v>
      </c>
      <c r="L56" s="156">
        <f>'KW 8'!AO11</f>
        <v>0</v>
      </c>
      <c r="M56" s="159">
        <f>'KW 8'!AP11</f>
        <v>0</v>
      </c>
    </row>
    <row r="57" spans="1:13">
      <c r="D57" s="130" t="s">
        <v>171</v>
      </c>
      <c r="E57" s="135">
        <f>'KW 8'!AH5</f>
        <v>0</v>
      </c>
      <c r="F57" s="138">
        <f>'KW 8'!AI5</f>
        <v>0</v>
      </c>
      <c r="G57" s="141">
        <f>'KW 8'!AJ5</f>
        <v>0</v>
      </c>
      <c r="H57" s="144">
        <f>'KW 8'!AK5</f>
        <v>0</v>
      </c>
      <c r="I57" s="147">
        <f>'KW 8'!AL5</f>
        <v>0</v>
      </c>
      <c r="J57" s="150">
        <f>'KW 8'!AM5</f>
        <v>0</v>
      </c>
      <c r="K57" s="153">
        <f>'KW 8'!AN5</f>
        <v>0</v>
      </c>
      <c r="L57" s="156">
        <f>'KW 8'!AO5</f>
        <v>0</v>
      </c>
      <c r="M57" s="159">
        <f>'KW 8'!AP5</f>
        <v>0</v>
      </c>
    </row>
    <row r="58" spans="1:13">
      <c r="D58" s="130" t="s">
        <v>172</v>
      </c>
      <c r="E58" s="135">
        <f>'KW 9'!AH6</f>
        <v>0</v>
      </c>
      <c r="F58" s="138">
        <f>'KW 9'!AI6</f>
        <v>0</v>
      </c>
      <c r="G58" s="141">
        <f>'KW 9'!AJ6</f>
        <v>0</v>
      </c>
      <c r="H58" s="144">
        <f>'KW 9'!AK6</f>
        <v>0</v>
      </c>
      <c r="I58" s="147">
        <f>'KW 9'!AL6</f>
        <v>0</v>
      </c>
      <c r="J58" s="150">
        <f>'KW 9'!AM6</f>
        <v>0</v>
      </c>
      <c r="K58" s="153">
        <f>'KW 9'!AN6</f>
        <v>0</v>
      </c>
      <c r="L58" s="156">
        <f>'KW 9'!AO6</f>
        <v>0</v>
      </c>
      <c r="M58" s="159">
        <f>'KW 9'!AP6</f>
        <v>0</v>
      </c>
    </row>
    <row r="59" spans="1:13">
      <c r="D59" s="130" t="s">
        <v>173</v>
      </c>
      <c r="E59" s="135">
        <f>'KW 9'!AH7</f>
        <v>0</v>
      </c>
      <c r="F59" s="138">
        <f>'KW 9'!AI7</f>
        <v>0</v>
      </c>
      <c r="G59" s="141">
        <f>'KW 9'!AJ7</f>
        <v>0</v>
      </c>
      <c r="H59" s="144">
        <f>'KW 9'!AK7</f>
        <v>0</v>
      </c>
      <c r="I59" s="147">
        <f>'KW 9'!AL7</f>
        <v>0</v>
      </c>
      <c r="J59" s="150">
        <f>'KW 9'!AM7</f>
        <v>0</v>
      </c>
      <c r="K59" s="153">
        <f>'KW 9'!AN7</f>
        <v>0</v>
      </c>
      <c r="L59" s="156">
        <f>'KW 9'!AO7</f>
        <v>0</v>
      </c>
      <c r="M59" s="159">
        <f>'KW 9'!AP7</f>
        <v>0</v>
      </c>
    </row>
    <row r="60" spans="1:13">
      <c r="D60" s="130" t="s">
        <v>174</v>
      </c>
      <c r="E60" s="135">
        <f>'KW 9'!AH8</f>
        <v>0</v>
      </c>
      <c r="F60" s="138">
        <f>'KW 9'!AI8</f>
        <v>0</v>
      </c>
      <c r="G60" s="141">
        <f>'KW 9'!AJ8</f>
        <v>0</v>
      </c>
      <c r="H60" s="144">
        <f>'KW 9'!AK8</f>
        <v>0</v>
      </c>
      <c r="I60" s="147">
        <f>'KW 9'!AL8</f>
        <v>0</v>
      </c>
      <c r="J60" s="150">
        <f>'KW 9'!AM8</f>
        <v>0</v>
      </c>
      <c r="K60" s="153">
        <f>'KW 9'!AN8</f>
        <v>0</v>
      </c>
      <c r="L60" s="156">
        <f>'KW 9'!AO8</f>
        <v>0</v>
      </c>
      <c r="M60" s="159">
        <f>'KW 9'!AP8</f>
        <v>0</v>
      </c>
    </row>
    <row r="61" spans="1:13">
      <c r="D61" s="130" t="s">
        <v>175</v>
      </c>
      <c r="E61" s="135">
        <f>'KW 9'!AH9</f>
        <v>0</v>
      </c>
      <c r="F61" s="138">
        <f>'KW 9'!AI9</f>
        <v>0</v>
      </c>
      <c r="G61" s="141">
        <f>'KW 9'!AJ9</f>
        <v>0</v>
      </c>
      <c r="H61" s="144">
        <f>'KW 9'!AK9</f>
        <v>0</v>
      </c>
      <c r="I61" s="147">
        <f>'KW 9'!AL9</f>
        <v>0</v>
      </c>
      <c r="J61" s="150">
        <f>'KW 9'!AM9</f>
        <v>0</v>
      </c>
      <c r="K61" s="153">
        <f>'KW 9'!AN9</f>
        <v>0</v>
      </c>
      <c r="L61" s="156">
        <f>'KW 9'!AO9</f>
        <v>0</v>
      </c>
      <c r="M61" s="159">
        <f>'KW 9'!AP9</f>
        <v>0</v>
      </c>
    </row>
    <row r="62" spans="1:13">
      <c r="D62" s="127" t="s">
        <v>176</v>
      </c>
      <c r="E62" s="134">
        <f>'KW 9'!AH10</f>
        <v>0</v>
      </c>
      <c r="F62" s="137">
        <f>'KW 9'!AI10</f>
        <v>0</v>
      </c>
      <c r="G62" s="140">
        <f>'KW 9'!AJ10</f>
        <v>0</v>
      </c>
      <c r="H62" s="143">
        <f>'KW 9'!AK10</f>
        <v>0</v>
      </c>
      <c r="I62" s="146">
        <f>'KW 9'!AL10</f>
        <v>0</v>
      </c>
      <c r="J62" s="149">
        <f>'KW 9'!AM10</f>
        <v>0</v>
      </c>
      <c r="K62" s="152">
        <f>'KW 9'!AN10</f>
        <v>0</v>
      </c>
      <c r="L62" s="155">
        <f>'KW 9'!AO10</f>
        <v>0</v>
      </c>
      <c r="M62" s="158">
        <f>'KW 9'!AP10</f>
        <v>0</v>
      </c>
    </row>
    <row r="63" spans="1:13">
      <c r="D63" s="127" t="s">
        <v>177</v>
      </c>
      <c r="E63" s="134">
        <f>'KW 9'!AH11</f>
        <v>0</v>
      </c>
      <c r="F63" s="137">
        <f>'KW 9'!AI11</f>
        <v>0</v>
      </c>
      <c r="G63" s="140">
        <f>'KW 9'!AJ11</f>
        <v>0</v>
      </c>
      <c r="H63" s="143">
        <f>'KW 9'!AK11</f>
        <v>0</v>
      </c>
      <c r="I63" s="146">
        <f>'KW 9'!AL11</f>
        <v>0</v>
      </c>
      <c r="J63" s="149">
        <f>'KW 9'!AM11</f>
        <v>0</v>
      </c>
      <c r="K63" s="152">
        <f>'KW 9'!AN11</f>
        <v>0</v>
      </c>
      <c r="L63" s="155">
        <f>'KW 9'!AO11</f>
        <v>0</v>
      </c>
      <c r="M63" s="158">
        <f>'KW 9'!AP11</f>
        <v>0</v>
      </c>
    </row>
    <row r="64" spans="1:13">
      <c r="D64" s="127" t="s">
        <v>178</v>
      </c>
      <c r="E64" s="134">
        <f>'KW 9'!AH5</f>
        <v>0</v>
      </c>
      <c r="F64" s="137">
        <f>'KW 9'!AI5</f>
        <v>0</v>
      </c>
      <c r="G64" s="140">
        <f>'KW 9'!AJ5</f>
        <v>0</v>
      </c>
      <c r="H64" s="143">
        <f>'KW 9'!AK5</f>
        <v>0</v>
      </c>
      <c r="I64" s="146">
        <f>'KW 9'!AL5</f>
        <v>0</v>
      </c>
      <c r="J64" s="149">
        <f>'KW 9'!AM5</f>
        <v>0</v>
      </c>
      <c r="K64" s="152">
        <f>'KW 9'!AN5</f>
        <v>0</v>
      </c>
      <c r="L64" s="155">
        <f>'KW 9'!AO5</f>
        <v>0</v>
      </c>
      <c r="M64" s="158">
        <f>'KW 9'!AP5</f>
        <v>0</v>
      </c>
    </row>
    <row r="65" spans="4:13">
      <c r="D65" s="127" t="s">
        <v>179</v>
      </c>
      <c r="E65" s="134">
        <f>'KW 10'!AH6</f>
        <v>0</v>
      </c>
      <c r="F65" s="137">
        <f>'KW 10'!AI6</f>
        <v>0</v>
      </c>
      <c r="G65" s="140">
        <f>'KW 10'!AJ6</f>
        <v>0</v>
      </c>
      <c r="H65" s="143">
        <f>'KW 10'!AK6</f>
        <v>0</v>
      </c>
      <c r="I65" s="146">
        <f>'KW 10'!AL6</f>
        <v>0</v>
      </c>
      <c r="J65" s="149">
        <f>'KW 10'!AM6</f>
        <v>0</v>
      </c>
      <c r="K65" s="152">
        <f>'KW 10'!AN6</f>
        <v>0</v>
      </c>
      <c r="L65" s="155">
        <f>'KW 10'!AO6</f>
        <v>0</v>
      </c>
      <c r="M65" s="158">
        <f>'KW 10'!AP6</f>
        <v>0</v>
      </c>
    </row>
    <row r="66" spans="4:13">
      <c r="D66" s="127" t="s">
        <v>180</v>
      </c>
      <c r="E66" s="134">
        <f>'KW 10'!AH7</f>
        <v>0</v>
      </c>
      <c r="F66" s="137">
        <f>'KW 10'!AI7</f>
        <v>0</v>
      </c>
      <c r="G66" s="140">
        <f>'KW 10'!AJ7</f>
        <v>0</v>
      </c>
      <c r="H66" s="143">
        <f>'KW 10'!AK7</f>
        <v>0</v>
      </c>
      <c r="I66" s="146">
        <f>'KW 10'!AL7</f>
        <v>0</v>
      </c>
      <c r="J66" s="149">
        <f>'KW 10'!AM7</f>
        <v>0</v>
      </c>
      <c r="K66" s="152">
        <f>'KW 10'!AN7</f>
        <v>0</v>
      </c>
      <c r="L66" s="155">
        <f>'KW 10'!AO7</f>
        <v>0</v>
      </c>
      <c r="M66" s="158">
        <f>'KW 10'!AP7</f>
        <v>0</v>
      </c>
    </row>
    <row r="67" spans="4:13">
      <c r="D67" s="127" t="s">
        <v>181</v>
      </c>
      <c r="E67" s="134">
        <f>'KW 10'!AH8</f>
        <v>0</v>
      </c>
      <c r="F67" s="137">
        <f>'KW 10'!AI8</f>
        <v>0</v>
      </c>
      <c r="G67" s="140">
        <f>'KW 10'!AJ8</f>
        <v>0</v>
      </c>
      <c r="H67" s="143">
        <f>'KW 10'!AK8</f>
        <v>0</v>
      </c>
      <c r="I67" s="146">
        <f>'KW 10'!AL8</f>
        <v>0</v>
      </c>
      <c r="J67" s="149">
        <f>'KW 10'!AM8</f>
        <v>0</v>
      </c>
      <c r="K67" s="152">
        <f>'KW 10'!AN8</f>
        <v>0</v>
      </c>
      <c r="L67" s="155">
        <f>'KW 10'!AO8</f>
        <v>0</v>
      </c>
      <c r="M67" s="158">
        <f>'KW 10'!AP8</f>
        <v>0</v>
      </c>
    </row>
    <row r="68" spans="4:13">
      <c r="D68" s="127" t="s">
        <v>182</v>
      </c>
      <c r="E68" s="134">
        <f>'KW 10'!AH9</f>
        <v>0</v>
      </c>
      <c r="F68" s="137">
        <f>'KW 10'!AI9</f>
        <v>0</v>
      </c>
      <c r="G68" s="140">
        <f>'KW 10'!AJ9</f>
        <v>0</v>
      </c>
      <c r="H68" s="143">
        <f>'KW 10'!AK9</f>
        <v>0</v>
      </c>
      <c r="I68" s="146">
        <f>'KW 10'!AL9</f>
        <v>0</v>
      </c>
      <c r="J68" s="149">
        <f>'KW 10'!AM9</f>
        <v>0</v>
      </c>
      <c r="K68" s="152">
        <f>'KW 10'!AN9</f>
        <v>0</v>
      </c>
      <c r="L68" s="155">
        <f>'KW 10'!AO9</f>
        <v>0</v>
      </c>
      <c r="M68" s="158">
        <f>'KW 10'!AP9</f>
        <v>0</v>
      </c>
    </row>
    <row r="69" spans="4:13">
      <c r="D69" s="127" t="s">
        <v>183</v>
      </c>
      <c r="E69" s="134">
        <f>'KW 10'!AH10</f>
        <v>0</v>
      </c>
      <c r="F69" s="137">
        <f>'KW 10'!AI10</f>
        <v>0</v>
      </c>
      <c r="G69" s="140">
        <f>'KW 10'!AJ10</f>
        <v>0</v>
      </c>
      <c r="H69" s="143">
        <f>'KW 10'!AK10</f>
        <v>0</v>
      </c>
      <c r="I69" s="146">
        <f>'KW 10'!AL10</f>
        <v>0</v>
      </c>
      <c r="J69" s="149">
        <f>'KW 10'!AM10</f>
        <v>0</v>
      </c>
      <c r="K69" s="152">
        <f>'KW 10'!AN10</f>
        <v>0</v>
      </c>
      <c r="L69" s="155">
        <f>'KW 10'!AO10</f>
        <v>0</v>
      </c>
      <c r="M69" s="158">
        <f>'KW 10'!AP10</f>
        <v>0</v>
      </c>
    </row>
    <row r="70" spans="4:13">
      <c r="D70" s="127" t="s">
        <v>184</v>
      </c>
      <c r="E70" s="134">
        <f>'KW 10'!AH11</f>
        <v>0</v>
      </c>
      <c r="F70" s="137">
        <f>'KW 10'!AI11</f>
        <v>0</v>
      </c>
      <c r="G70" s="140">
        <f>'KW 10'!AJ11</f>
        <v>0</v>
      </c>
      <c r="H70" s="143">
        <f>'KW 10'!AK11</f>
        <v>0</v>
      </c>
      <c r="I70" s="146">
        <f>'KW 10'!AL11</f>
        <v>0</v>
      </c>
      <c r="J70" s="149">
        <f>'KW 10'!AM11</f>
        <v>0</v>
      </c>
      <c r="K70" s="152">
        <f>'KW 10'!AN11</f>
        <v>0</v>
      </c>
      <c r="L70" s="155">
        <f>'KW 10'!AO11</f>
        <v>0</v>
      </c>
      <c r="M70" s="158">
        <f>'KW 10'!AP11</f>
        <v>0</v>
      </c>
    </row>
    <row r="71" spans="4:13">
      <c r="D71" s="127" t="s">
        <v>185</v>
      </c>
      <c r="E71" s="134">
        <f>'KW 10'!AH5</f>
        <v>0</v>
      </c>
      <c r="F71" s="137">
        <f>'KW 10'!AI5</f>
        <v>0</v>
      </c>
      <c r="G71" s="140">
        <f>'KW 10'!AJ5</f>
        <v>0</v>
      </c>
      <c r="H71" s="143">
        <f>'KW 10'!AK5</f>
        <v>0</v>
      </c>
      <c r="I71" s="146">
        <f>'KW 10'!AL5</f>
        <v>0</v>
      </c>
      <c r="J71" s="149">
        <f>'KW 10'!AM5</f>
        <v>0</v>
      </c>
      <c r="K71" s="152">
        <f>'KW 10'!AN5</f>
        <v>0</v>
      </c>
      <c r="L71" s="155">
        <f>'KW 10'!AO5</f>
        <v>0</v>
      </c>
      <c r="M71" s="158">
        <f>'KW 10'!AP5</f>
        <v>0</v>
      </c>
    </row>
    <row r="72" spans="4:13">
      <c r="D72" s="127" t="s">
        <v>186</v>
      </c>
      <c r="E72" s="134">
        <f>'KW 11'!AH6</f>
        <v>0</v>
      </c>
      <c r="F72" s="137">
        <f>'KW 11'!AI6</f>
        <v>0</v>
      </c>
      <c r="G72" s="140">
        <f>'KW 11'!AJ6</f>
        <v>0</v>
      </c>
      <c r="H72" s="143">
        <f>'KW 11'!AK6</f>
        <v>0</v>
      </c>
      <c r="I72" s="146">
        <f>'KW 11'!AL6</f>
        <v>0</v>
      </c>
      <c r="J72" s="149">
        <f>'KW 11'!AM6</f>
        <v>0</v>
      </c>
      <c r="K72" s="152">
        <f>'KW 11'!AN6</f>
        <v>0</v>
      </c>
      <c r="L72" s="155">
        <f>'KW 11'!AO6</f>
        <v>0</v>
      </c>
      <c r="M72" s="158">
        <f>'KW 11'!AP6</f>
        <v>0</v>
      </c>
    </row>
    <row r="73" spans="4:13">
      <c r="D73" s="127" t="s">
        <v>187</v>
      </c>
      <c r="E73" s="134">
        <f>'KW 11'!AH7</f>
        <v>0</v>
      </c>
      <c r="F73" s="137">
        <f>'KW 11'!AI7</f>
        <v>0</v>
      </c>
      <c r="G73" s="140">
        <f>'KW 11'!AJ7</f>
        <v>0</v>
      </c>
      <c r="H73" s="143">
        <f>'KW 11'!AK7</f>
        <v>0</v>
      </c>
      <c r="I73" s="146">
        <f>'KW 11'!AL7</f>
        <v>0</v>
      </c>
      <c r="J73" s="149">
        <f>'KW 11'!AM7</f>
        <v>0</v>
      </c>
      <c r="K73" s="152">
        <f>'KW 11'!AN7</f>
        <v>0</v>
      </c>
      <c r="L73" s="155">
        <f>'KW 11'!AO7</f>
        <v>0</v>
      </c>
      <c r="M73" s="158">
        <f>'KW 11'!AP7</f>
        <v>0</v>
      </c>
    </row>
    <row r="74" spans="4:13">
      <c r="D74" s="127" t="s">
        <v>188</v>
      </c>
      <c r="E74" s="134">
        <f>'KW 11'!AH8</f>
        <v>0</v>
      </c>
      <c r="F74" s="137">
        <f>'KW 11'!AI8</f>
        <v>0</v>
      </c>
      <c r="G74" s="140">
        <f>'KW 11'!AJ8</f>
        <v>0</v>
      </c>
      <c r="H74" s="143">
        <f>'KW 11'!AK8</f>
        <v>0</v>
      </c>
      <c r="I74" s="146">
        <f>'KW 11'!AL8</f>
        <v>0</v>
      </c>
      <c r="J74" s="149">
        <f>'KW 11'!AM8</f>
        <v>0</v>
      </c>
      <c r="K74" s="152">
        <f>'KW 11'!AN8</f>
        <v>0</v>
      </c>
      <c r="L74" s="155">
        <f>'KW 11'!AO8</f>
        <v>0</v>
      </c>
      <c r="M74" s="158">
        <f>'KW 11'!AP8</f>
        <v>0</v>
      </c>
    </row>
    <row r="75" spans="4:13">
      <c r="D75" s="127" t="s">
        <v>189</v>
      </c>
      <c r="E75" s="134">
        <f>'KW 11'!AH9</f>
        <v>0</v>
      </c>
      <c r="F75" s="137">
        <f>'KW 11'!AI9</f>
        <v>0</v>
      </c>
      <c r="G75" s="140">
        <f>'KW 11'!AJ9</f>
        <v>0</v>
      </c>
      <c r="H75" s="143">
        <f>'KW 11'!AK9</f>
        <v>0</v>
      </c>
      <c r="I75" s="146">
        <f>'KW 11'!AL9</f>
        <v>0</v>
      </c>
      <c r="J75" s="149">
        <f>'KW 11'!AM9</f>
        <v>0</v>
      </c>
      <c r="K75" s="152">
        <f>'KW 11'!AN9</f>
        <v>0</v>
      </c>
      <c r="L75" s="155">
        <f>'KW 11'!AO9</f>
        <v>0</v>
      </c>
      <c r="M75" s="158">
        <f>'KW 11'!AP9</f>
        <v>0</v>
      </c>
    </row>
    <row r="76" spans="4:13">
      <c r="D76" s="127" t="s">
        <v>190</v>
      </c>
      <c r="E76" s="134">
        <f>'KW 11'!AH10</f>
        <v>0</v>
      </c>
      <c r="F76" s="137">
        <f>'KW 11'!AI10</f>
        <v>0</v>
      </c>
      <c r="G76" s="140">
        <f>'KW 11'!AJ10</f>
        <v>0</v>
      </c>
      <c r="H76" s="143">
        <f>'KW 11'!AK10</f>
        <v>0</v>
      </c>
      <c r="I76" s="146">
        <f>'KW 11'!AL10</f>
        <v>0</v>
      </c>
      <c r="J76" s="149">
        <f>'KW 11'!AM10</f>
        <v>0</v>
      </c>
      <c r="K76" s="152">
        <f>'KW 11'!AN10</f>
        <v>0</v>
      </c>
      <c r="L76" s="155">
        <f>'KW 11'!AO10</f>
        <v>0</v>
      </c>
      <c r="M76" s="158">
        <f>'KW 11'!AP10</f>
        <v>0</v>
      </c>
    </row>
    <row r="77" spans="4:13">
      <c r="D77" s="127" t="s">
        <v>191</v>
      </c>
      <c r="E77" s="134">
        <f>'KW 11'!AH11</f>
        <v>0</v>
      </c>
      <c r="F77" s="137">
        <f>'KW 11'!AI11</f>
        <v>0</v>
      </c>
      <c r="G77" s="140">
        <f>'KW 11'!AJ11</f>
        <v>0</v>
      </c>
      <c r="H77" s="143">
        <f>'KW 11'!AK11</f>
        <v>0</v>
      </c>
      <c r="I77" s="146">
        <f>'KW 11'!AL11</f>
        <v>0</v>
      </c>
      <c r="J77" s="149">
        <f>'KW 11'!AM11</f>
        <v>0</v>
      </c>
      <c r="K77" s="152">
        <f>'KW 11'!AN11</f>
        <v>0</v>
      </c>
      <c r="L77" s="155">
        <f>'KW 11'!AO11</f>
        <v>0</v>
      </c>
      <c r="M77" s="158">
        <f>'KW 11'!AP11</f>
        <v>0</v>
      </c>
    </row>
    <row r="78" spans="4:13">
      <c r="D78" s="127" t="s">
        <v>192</v>
      </c>
      <c r="E78" s="134">
        <f>'KW 11'!AH5</f>
        <v>0</v>
      </c>
      <c r="F78" s="137">
        <f>'KW 11'!AI5</f>
        <v>0</v>
      </c>
      <c r="G78" s="140">
        <f>'KW 11'!AJ5</f>
        <v>0</v>
      </c>
      <c r="H78" s="143">
        <f>'KW 11'!AK5</f>
        <v>0</v>
      </c>
      <c r="I78" s="146">
        <f>'KW 11'!AL5</f>
        <v>0</v>
      </c>
      <c r="J78" s="149">
        <f>'KW 11'!AM5</f>
        <v>0</v>
      </c>
      <c r="K78" s="152">
        <f>'KW 11'!AN5</f>
        <v>0</v>
      </c>
      <c r="L78" s="155">
        <f>'KW 11'!AO5</f>
        <v>0</v>
      </c>
      <c r="M78" s="158">
        <f>'KW 11'!AP5</f>
        <v>0</v>
      </c>
    </row>
    <row r="79" spans="4:13">
      <c r="D79" s="127" t="s">
        <v>193</v>
      </c>
      <c r="E79" s="134">
        <f>'KW 12'!AH6</f>
        <v>0</v>
      </c>
      <c r="F79" s="137">
        <f>'KW 12'!AI6</f>
        <v>0</v>
      </c>
      <c r="G79" s="140">
        <f>'KW 12'!AJ6</f>
        <v>0</v>
      </c>
      <c r="H79" s="143">
        <f>'KW 12'!AK6</f>
        <v>0</v>
      </c>
      <c r="I79" s="146">
        <f>'KW 12'!AL6</f>
        <v>0</v>
      </c>
      <c r="J79" s="149">
        <f>'KW 12'!AM6</f>
        <v>0</v>
      </c>
      <c r="K79" s="152">
        <f>'KW 12'!AN6</f>
        <v>0</v>
      </c>
      <c r="L79" s="155">
        <f>'KW 12'!AO6</f>
        <v>0</v>
      </c>
      <c r="M79" s="158">
        <f>'KW 12'!AP6</f>
        <v>0</v>
      </c>
    </row>
    <row r="80" spans="4:13">
      <c r="D80" s="127" t="s">
        <v>194</v>
      </c>
      <c r="E80" s="134">
        <f>'KW 12'!AH7</f>
        <v>0</v>
      </c>
      <c r="F80" s="137">
        <f>'KW 12'!AI7</f>
        <v>0</v>
      </c>
      <c r="G80" s="140">
        <f>'KW 12'!AJ7</f>
        <v>0</v>
      </c>
      <c r="H80" s="143">
        <f>'KW 12'!AK7</f>
        <v>0</v>
      </c>
      <c r="I80" s="146">
        <f>'KW 12'!AL7</f>
        <v>0</v>
      </c>
      <c r="J80" s="149">
        <f>'KW 12'!AM7</f>
        <v>0</v>
      </c>
      <c r="K80" s="152">
        <f>'KW 12'!AN7</f>
        <v>0</v>
      </c>
      <c r="L80" s="155">
        <f>'KW 12'!AO7</f>
        <v>0</v>
      </c>
      <c r="M80" s="158">
        <f>'KW 12'!AP7</f>
        <v>0</v>
      </c>
    </row>
    <row r="81" spans="4:13">
      <c r="D81" s="127" t="s">
        <v>195</v>
      </c>
      <c r="E81" s="134">
        <f>'KW 12'!AH8</f>
        <v>0</v>
      </c>
      <c r="F81" s="137">
        <f>'KW 12'!AI8</f>
        <v>0</v>
      </c>
      <c r="G81" s="140">
        <f>'KW 12'!AJ8</f>
        <v>0</v>
      </c>
      <c r="H81" s="143">
        <f>'KW 12'!AK8</f>
        <v>0</v>
      </c>
      <c r="I81" s="146">
        <f>'KW 12'!AL8</f>
        <v>0</v>
      </c>
      <c r="J81" s="149">
        <f>'KW 12'!AM8</f>
        <v>0</v>
      </c>
      <c r="K81" s="152">
        <f>'KW 12'!AN8</f>
        <v>0</v>
      </c>
      <c r="L81" s="155">
        <f>'KW 12'!AO8</f>
        <v>0</v>
      </c>
      <c r="M81" s="158">
        <f>'KW 12'!AP8</f>
        <v>0</v>
      </c>
    </row>
    <row r="82" spans="4:13">
      <c r="D82" s="127" t="s">
        <v>196</v>
      </c>
      <c r="E82" s="134">
        <f>'KW 12'!AH9</f>
        <v>0</v>
      </c>
      <c r="F82" s="137">
        <f>'KW 12'!AI9</f>
        <v>0</v>
      </c>
      <c r="G82" s="140">
        <f>'KW 12'!AJ9</f>
        <v>0</v>
      </c>
      <c r="H82" s="143">
        <f>'KW 12'!AK9</f>
        <v>0</v>
      </c>
      <c r="I82" s="146">
        <f>'KW 12'!AL9</f>
        <v>0</v>
      </c>
      <c r="J82" s="149">
        <f>'KW 12'!AM9</f>
        <v>0</v>
      </c>
      <c r="K82" s="152">
        <f>'KW 12'!AN9</f>
        <v>0</v>
      </c>
      <c r="L82" s="155">
        <f>'KW 12'!AO9</f>
        <v>0</v>
      </c>
      <c r="M82" s="158">
        <f>'KW 12'!AP9</f>
        <v>0</v>
      </c>
    </row>
    <row r="83" spans="4:13">
      <c r="D83" s="127" t="s">
        <v>197</v>
      </c>
      <c r="E83" s="134">
        <f>'KW 12'!AH10</f>
        <v>0</v>
      </c>
      <c r="F83" s="137">
        <f>'KW 12'!AI10</f>
        <v>0</v>
      </c>
      <c r="G83" s="140">
        <f>'KW 12'!AJ10</f>
        <v>0</v>
      </c>
      <c r="H83" s="143">
        <f>'KW 12'!AK10</f>
        <v>0</v>
      </c>
      <c r="I83" s="146">
        <f>'KW 12'!AL10</f>
        <v>0</v>
      </c>
      <c r="J83" s="149">
        <f>'KW 12'!AM10</f>
        <v>0</v>
      </c>
      <c r="K83" s="152">
        <f>'KW 12'!AN10</f>
        <v>0</v>
      </c>
      <c r="L83" s="155">
        <f>'KW 12'!AO10</f>
        <v>0</v>
      </c>
      <c r="M83" s="158">
        <f>'KW 12'!AP10</f>
        <v>0</v>
      </c>
    </row>
    <row r="84" spans="4:13">
      <c r="D84" s="127" t="s">
        <v>198</v>
      </c>
      <c r="E84" s="134">
        <f>'KW 12'!AH11</f>
        <v>0</v>
      </c>
      <c r="F84" s="137">
        <f>'KW 12'!AI11</f>
        <v>0</v>
      </c>
      <c r="G84" s="140">
        <f>'KW 12'!AJ11</f>
        <v>0</v>
      </c>
      <c r="H84" s="143">
        <f>'KW 12'!AK11</f>
        <v>0</v>
      </c>
      <c r="I84" s="146">
        <f>'KW 12'!AL11</f>
        <v>0</v>
      </c>
      <c r="J84" s="149">
        <f>'KW 12'!AM11</f>
        <v>0</v>
      </c>
      <c r="K84" s="152">
        <f>'KW 12'!AN11</f>
        <v>0</v>
      </c>
      <c r="L84" s="155">
        <f>'KW 12'!AO11</f>
        <v>0</v>
      </c>
      <c r="M84" s="158">
        <f>'KW 12'!AP11</f>
        <v>0</v>
      </c>
    </row>
    <row r="85" spans="4:13">
      <c r="D85" s="127" t="s">
        <v>199</v>
      </c>
      <c r="E85" s="134">
        <f>'KW 12'!AH5</f>
        <v>0</v>
      </c>
      <c r="F85" s="137">
        <f>'KW 12'!AI5</f>
        <v>0</v>
      </c>
      <c r="G85" s="140">
        <f>'KW 12'!AJ5</f>
        <v>0</v>
      </c>
      <c r="H85" s="143">
        <f>'KW 12'!AK5</f>
        <v>0</v>
      </c>
      <c r="I85" s="146">
        <f>'KW 12'!AL5</f>
        <v>0</v>
      </c>
      <c r="J85" s="149">
        <f>'KW 12'!AM5</f>
        <v>0</v>
      </c>
      <c r="K85" s="152">
        <f>'KW 12'!AN5</f>
        <v>0</v>
      </c>
      <c r="L85" s="155">
        <f>'KW 12'!AO5</f>
        <v>0</v>
      </c>
      <c r="M85" s="158">
        <f>'KW 12'!AP5</f>
        <v>0</v>
      </c>
    </row>
    <row r="86" spans="4:13">
      <c r="D86" s="127" t="s">
        <v>200</v>
      </c>
      <c r="E86" s="134">
        <f>'KW 13'!AH6</f>
        <v>0</v>
      </c>
      <c r="F86" s="137">
        <f>'KW 13'!AI6</f>
        <v>0</v>
      </c>
      <c r="G86" s="140">
        <f>'KW 13'!AJ6</f>
        <v>0</v>
      </c>
      <c r="H86" s="143">
        <f>'KW 13'!AK6</f>
        <v>0</v>
      </c>
      <c r="I86" s="146">
        <f>'KW 13'!AL6</f>
        <v>0</v>
      </c>
      <c r="J86" s="149">
        <f>'KW 13'!AM6</f>
        <v>0</v>
      </c>
      <c r="K86" s="152">
        <f>'KW 13'!AN6</f>
        <v>0</v>
      </c>
      <c r="L86" s="155">
        <f>'KW 13'!AO6</f>
        <v>0</v>
      </c>
      <c r="M86" s="158">
        <f>'KW 13'!AP6</f>
        <v>0</v>
      </c>
    </row>
    <row r="87" spans="4:13">
      <c r="D87" s="127" t="s">
        <v>201</v>
      </c>
      <c r="E87" s="134">
        <f>'KW 13'!AH7</f>
        <v>0</v>
      </c>
      <c r="F87" s="137">
        <f>'KW 13'!AI7</f>
        <v>0</v>
      </c>
      <c r="G87" s="140">
        <f>'KW 13'!AJ7</f>
        <v>0</v>
      </c>
      <c r="H87" s="143">
        <f>'KW 13'!AK7</f>
        <v>0</v>
      </c>
      <c r="I87" s="146">
        <f>'KW 13'!AL7</f>
        <v>0</v>
      </c>
      <c r="J87" s="149">
        <f>'KW 13'!AM7</f>
        <v>0</v>
      </c>
      <c r="K87" s="152">
        <f>'KW 13'!AN7</f>
        <v>0</v>
      </c>
      <c r="L87" s="155">
        <f>'KW 13'!AO7</f>
        <v>0</v>
      </c>
      <c r="M87" s="158">
        <f>'KW 13'!AP7</f>
        <v>0</v>
      </c>
    </row>
    <row r="88" spans="4:13">
      <c r="D88" s="127" t="s">
        <v>202</v>
      </c>
      <c r="E88" s="134">
        <f>'KW 13'!AH8</f>
        <v>0</v>
      </c>
      <c r="F88" s="137">
        <f>'KW 13'!AI8</f>
        <v>0</v>
      </c>
      <c r="G88" s="140">
        <f>'KW 13'!AJ8</f>
        <v>0</v>
      </c>
      <c r="H88" s="143">
        <f>'KW 13'!AK8</f>
        <v>0</v>
      </c>
      <c r="I88" s="146">
        <f>'KW 13'!AL8</f>
        <v>0</v>
      </c>
      <c r="J88" s="149">
        <f>'KW 13'!AM8</f>
        <v>0</v>
      </c>
      <c r="K88" s="152">
        <f>'KW 13'!AN8</f>
        <v>0</v>
      </c>
      <c r="L88" s="155">
        <f>'KW 13'!AO8</f>
        <v>0</v>
      </c>
      <c r="M88" s="158">
        <f>'KW 13'!AP8</f>
        <v>0</v>
      </c>
    </row>
    <row r="89" spans="4:13">
      <c r="D89" s="127" t="s">
        <v>203</v>
      </c>
      <c r="E89" s="134">
        <f>'KW 13'!AH9</f>
        <v>0</v>
      </c>
      <c r="F89" s="137">
        <f>'KW 13'!AI9</f>
        <v>0</v>
      </c>
      <c r="G89" s="140">
        <f>'KW 13'!AJ9</f>
        <v>0</v>
      </c>
      <c r="H89" s="143">
        <f>'KW 13'!AK9</f>
        <v>0</v>
      </c>
      <c r="I89" s="146">
        <f>'KW 13'!AL9</f>
        <v>0</v>
      </c>
      <c r="J89" s="149">
        <f>'KW 13'!AM9</f>
        <v>0</v>
      </c>
      <c r="K89" s="152">
        <f>'KW 13'!AN9</f>
        <v>0</v>
      </c>
      <c r="L89" s="155">
        <f>'KW 13'!AO9</f>
        <v>0</v>
      </c>
      <c r="M89" s="158">
        <f>'KW 13'!AP9</f>
        <v>0</v>
      </c>
    </row>
    <row r="90" spans="4:13">
      <c r="D90" s="127" t="s">
        <v>204</v>
      </c>
      <c r="E90" s="134">
        <f>'KW 13'!AH10</f>
        <v>0</v>
      </c>
      <c r="F90" s="137">
        <f>'KW 13'!AI10</f>
        <v>0</v>
      </c>
      <c r="G90" s="140">
        <f>'KW 13'!AJ10</f>
        <v>0</v>
      </c>
      <c r="H90" s="143">
        <f>'KW 13'!AK10</f>
        <v>0</v>
      </c>
      <c r="I90" s="146">
        <f>'KW 13'!AL10</f>
        <v>0</v>
      </c>
      <c r="J90" s="149">
        <f>'KW 13'!AM10</f>
        <v>0</v>
      </c>
      <c r="K90" s="152">
        <f>'KW 13'!AN10</f>
        <v>0</v>
      </c>
      <c r="L90" s="155">
        <f>'KW 13'!AO10</f>
        <v>0</v>
      </c>
      <c r="M90" s="158">
        <f>'KW 13'!AP10</f>
        <v>0</v>
      </c>
    </row>
    <row r="91" spans="4:13">
      <c r="D91" s="127" t="s">
        <v>205</v>
      </c>
      <c r="E91" s="134">
        <f>'KW 13'!AH11</f>
        <v>0</v>
      </c>
      <c r="F91" s="137">
        <f>'KW 13'!AI11</f>
        <v>0</v>
      </c>
      <c r="G91" s="140">
        <f>'KW 13'!AJ11</f>
        <v>0</v>
      </c>
      <c r="H91" s="143">
        <f>'KW 13'!AK11</f>
        <v>0</v>
      </c>
      <c r="I91" s="146">
        <f>'KW 13'!AL11</f>
        <v>0</v>
      </c>
      <c r="J91" s="149">
        <f>'KW 13'!AM11</f>
        <v>0</v>
      </c>
      <c r="K91" s="152">
        <f>'KW 13'!AN11</f>
        <v>0</v>
      </c>
      <c r="L91" s="155">
        <f>'KW 13'!AO11</f>
        <v>0</v>
      </c>
      <c r="M91" s="158">
        <f>'KW 13'!AP11</f>
        <v>0</v>
      </c>
    </row>
    <row r="92" spans="4:13">
      <c r="D92" s="127" t="s">
        <v>206</v>
      </c>
      <c r="E92" s="134">
        <f>'KW 13'!AH5</f>
        <v>0</v>
      </c>
      <c r="F92" s="137">
        <f>'KW 13'!AI5</f>
        <v>0</v>
      </c>
      <c r="G92" s="140">
        <f>'KW 13'!AJ5</f>
        <v>0</v>
      </c>
      <c r="H92" s="143">
        <f>'KW 13'!AK5</f>
        <v>0</v>
      </c>
      <c r="I92" s="146">
        <f>'KW 13'!AL5</f>
        <v>0</v>
      </c>
      <c r="J92" s="149">
        <f>'KW 13'!AM5</f>
        <v>0</v>
      </c>
      <c r="K92" s="152">
        <f>'KW 13'!AN5</f>
        <v>0</v>
      </c>
      <c r="L92" s="155">
        <f>'KW 13'!AO5</f>
        <v>0</v>
      </c>
      <c r="M92" s="158">
        <f>'KW 13'!AP5</f>
        <v>0</v>
      </c>
    </row>
    <row r="93" spans="4:13">
      <c r="D93" s="130" t="s">
        <v>207</v>
      </c>
      <c r="E93" s="135">
        <f>'KW 13'!AH6</f>
        <v>0</v>
      </c>
      <c r="F93" s="138">
        <f>'KW 13'!AI6</f>
        <v>0</v>
      </c>
      <c r="G93" s="141">
        <f>'KW 13'!AJ6</f>
        <v>0</v>
      </c>
      <c r="H93" s="144">
        <f>'KW 13'!AK6</f>
        <v>0</v>
      </c>
      <c r="I93" s="147">
        <f>'KW 13'!AL6</f>
        <v>0</v>
      </c>
      <c r="J93" s="150">
        <f>'KW 13'!AM6</f>
        <v>0</v>
      </c>
      <c r="K93" s="153">
        <f>'KW 13'!AN6</f>
        <v>0</v>
      </c>
      <c r="L93" s="156">
        <f>'KW 13'!AO6</f>
        <v>0</v>
      </c>
      <c r="M93" s="159">
        <f>'KW 13'!AP6</f>
        <v>0</v>
      </c>
    </row>
    <row r="94" spans="4:13">
      <c r="D94" s="130" t="s">
        <v>208</v>
      </c>
      <c r="E94" s="135">
        <f>'KW 14'!AH7</f>
        <v>0</v>
      </c>
      <c r="F94" s="138">
        <f>'KW 14'!AI7</f>
        <v>0</v>
      </c>
      <c r="G94" s="141">
        <f>'KW 14'!AJ7</f>
        <v>0</v>
      </c>
      <c r="H94" s="144">
        <f>'KW 14'!AK7</f>
        <v>0</v>
      </c>
      <c r="I94" s="147">
        <f>'KW 14'!AL7</f>
        <v>0</v>
      </c>
      <c r="J94" s="150">
        <f>'KW 14'!AM7</f>
        <v>0</v>
      </c>
      <c r="K94" s="153">
        <f>'KW 14'!AN7</f>
        <v>0</v>
      </c>
      <c r="L94" s="156">
        <f>'KW 14'!AO7</f>
        <v>0</v>
      </c>
      <c r="M94" s="159">
        <f>'KW 14'!AP7</f>
        <v>0</v>
      </c>
    </row>
    <row r="95" spans="4:13">
      <c r="D95" s="130" t="s">
        <v>209</v>
      </c>
      <c r="E95" s="135">
        <f>'KW 14'!AH8</f>
        <v>0</v>
      </c>
      <c r="F95" s="138">
        <f>'KW 14'!AI8</f>
        <v>0</v>
      </c>
      <c r="G95" s="141">
        <f>'KW 14'!AJ8</f>
        <v>0</v>
      </c>
      <c r="H95" s="144">
        <f>'KW 14'!AK8</f>
        <v>0</v>
      </c>
      <c r="I95" s="147">
        <f>'KW 14'!AL8</f>
        <v>0</v>
      </c>
      <c r="J95" s="150">
        <f>'KW 14'!AM8</f>
        <v>0</v>
      </c>
      <c r="K95" s="153">
        <f>'KW 14'!AN8</f>
        <v>0</v>
      </c>
      <c r="L95" s="156">
        <f>'KW 14'!AO8</f>
        <v>0</v>
      </c>
      <c r="M95" s="159">
        <f>'KW 14'!AP8</f>
        <v>0</v>
      </c>
    </row>
    <row r="96" spans="4:13">
      <c r="D96" s="130" t="s">
        <v>210</v>
      </c>
      <c r="E96" s="135">
        <f>'KW 14'!AH9</f>
        <v>0</v>
      </c>
      <c r="F96" s="138">
        <f>'KW 14'!AI9</f>
        <v>0</v>
      </c>
      <c r="G96" s="141">
        <f>'KW 14'!AJ9</f>
        <v>0</v>
      </c>
      <c r="H96" s="144">
        <f>'KW 14'!AK9</f>
        <v>0</v>
      </c>
      <c r="I96" s="147">
        <f>'KW 14'!AL9</f>
        <v>0</v>
      </c>
      <c r="J96" s="150">
        <f>'KW 14'!AM9</f>
        <v>0</v>
      </c>
      <c r="K96" s="153">
        <f>'KW 14'!AN9</f>
        <v>0</v>
      </c>
      <c r="L96" s="156">
        <f>'KW 14'!AO9</f>
        <v>0</v>
      </c>
      <c r="M96" s="159">
        <f>'KW 14'!AP9</f>
        <v>0</v>
      </c>
    </row>
    <row r="97" spans="4:13">
      <c r="D97" s="130" t="s">
        <v>211</v>
      </c>
      <c r="E97" s="135">
        <f>'KW 14'!AH10</f>
        <v>0</v>
      </c>
      <c r="F97" s="138">
        <f>'KW 14'!AI10</f>
        <v>0</v>
      </c>
      <c r="G97" s="141">
        <f>'KW 14'!AJ10</f>
        <v>0</v>
      </c>
      <c r="H97" s="144">
        <f>'KW 14'!AK10</f>
        <v>0</v>
      </c>
      <c r="I97" s="147">
        <f>'KW 14'!AL10</f>
        <v>0</v>
      </c>
      <c r="J97" s="150">
        <f>'KW 14'!AM10</f>
        <v>0</v>
      </c>
      <c r="K97" s="153">
        <f>'KW 14'!AN10</f>
        <v>0</v>
      </c>
      <c r="L97" s="156">
        <f>'KW 14'!AO10</f>
        <v>0</v>
      </c>
      <c r="M97" s="159">
        <f>'KW 14'!AP10</f>
        <v>0</v>
      </c>
    </row>
    <row r="98" spans="4:13">
      <c r="D98" s="130" t="s">
        <v>212</v>
      </c>
      <c r="E98" s="135">
        <f>'KW 14'!AH11</f>
        <v>0</v>
      </c>
      <c r="F98" s="138">
        <f>'KW 14'!AI11</f>
        <v>0</v>
      </c>
      <c r="G98" s="141">
        <f>'KW 14'!AJ11</f>
        <v>0</v>
      </c>
      <c r="H98" s="144">
        <f>'KW 14'!AK11</f>
        <v>0</v>
      </c>
      <c r="I98" s="147">
        <f>'KW 14'!AL11</f>
        <v>0</v>
      </c>
      <c r="J98" s="150">
        <f>'KW 14'!AM11</f>
        <v>0</v>
      </c>
      <c r="K98" s="153">
        <f>'KW 14'!AN11</f>
        <v>0</v>
      </c>
      <c r="L98" s="156">
        <f>'KW 14'!AO11</f>
        <v>0</v>
      </c>
      <c r="M98" s="159">
        <f>'KW 14'!AP11</f>
        <v>0</v>
      </c>
    </row>
    <row r="99" spans="4:13">
      <c r="D99" s="130" t="s">
        <v>213</v>
      </c>
      <c r="E99" s="135">
        <f>'KW 14'!AH5</f>
        <v>0</v>
      </c>
      <c r="F99" s="138">
        <f>'KW 14'!AI5</f>
        <v>0</v>
      </c>
      <c r="G99" s="141">
        <f>'KW 14'!AJ5</f>
        <v>0</v>
      </c>
      <c r="H99" s="144">
        <f>'KW 14'!AK5</f>
        <v>0</v>
      </c>
      <c r="I99" s="147">
        <f>'KW 14'!AL5</f>
        <v>0</v>
      </c>
      <c r="J99" s="150">
        <f>'KW 14'!AM5</f>
        <v>0</v>
      </c>
      <c r="K99" s="153">
        <f>'KW 14'!AN5</f>
        <v>0</v>
      </c>
      <c r="L99" s="156">
        <f>'KW 14'!AO5</f>
        <v>0</v>
      </c>
      <c r="M99" s="159">
        <f>'KW 14'!AP5</f>
        <v>0</v>
      </c>
    </row>
    <row r="100" spans="4:13">
      <c r="D100" s="130" t="s">
        <v>214</v>
      </c>
      <c r="E100" s="135">
        <f>'KW 14'!AH6</f>
        <v>0</v>
      </c>
      <c r="F100" s="138">
        <f>'KW 14'!AI6</f>
        <v>0</v>
      </c>
      <c r="G100" s="141">
        <f>'KW 14'!AJ6</f>
        <v>0</v>
      </c>
      <c r="H100" s="144">
        <f>'KW 14'!AK6</f>
        <v>0</v>
      </c>
      <c r="I100" s="147">
        <f>'KW 14'!AL6</f>
        <v>0</v>
      </c>
      <c r="J100" s="150">
        <f>'KW 14'!AM6</f>
        <v>0</v>
      </c>
      <c r="K100" s="153">
        <f>'KW 14'!AN6</f>
        <v>0</v>
      </c>
      <c r="L100" s="156">
        <f>'KW 14'!AO6</f>
        <v>0</v>
      </c>
      <c r="M100" s="159">
        <f>'KW 14'!AP6</f>
        <v>0</v>
      </c>
    </row>
    <row r="101" spans="4:13">
      <c r="D101" s="130" t="s">
        <v>215</v>
      </c>
      <c r="E101" s="135">
        <f>'KW 15'!AH7</f>
        <v>0</v>
      </c>
      <c r="F101" s="138">
        <f>'KW 15'!AI7</f>
        <v>0</v>
      </c>
      <c r="G101" s="141">
        <f>'KW 15'!AJ7</f>
        <v>0</v>
      </c>
      <c r="H101" s="144">
        <f>'KW 15'!AK7</f>
        <v>0</v>
      </c>
      <c r="I101" s="147">
        <f>'KW 15'!AL7</f>
        <v>0</v>
      </c>
      <c r="J101" s="150">
        <f>'KW 15'!AM7</f>
        <v>0</v>
      </c>
      <c r="K101" s="153">
        <f>'KW 15'!AN7</f>
        <v>0</v>
      </c>
      <c r="L101" s="156">
        <f>'KW 15'!AO7</f>
        <v>0</v>
      </c>
      <c r="M101" s="159">
        <f>'KW 15'!AP7</f>
        <v>0</v>
      </c>
    </row>
    <row r="102" spans="4:13">
      <c r="D102" s="130" t="s">
        <v>216</v>
      </c>
      <c r="E102" s="135">
        <f>'KW 15'!AH8</f>
        <v>0</v>
      </c>
      <c r="F102" s="138">
        <f>'KW 15'!AI8</f>
        <v>0</v>
      </c>
      <c r="G102" s="141">
        <f>'KW 15'!AJ8</f>
        <v>0</v>
      </c>
      <c r="H102" s="144">
        <f>'KW 15'!AK8</f>
        <v>0</v>
      </c>
      <c r="I102" s="147">
        <f>'KW 15'!AL8</f>
        <v>0</v>
      </c>
      <c r="J102" s="150">
        <f>'KW 15'!AM8</f>
        <v>0</v>
      </c>
      <c r="K102" s="153">
        <f>'KW 15'!AN8</f>
        <v>0</v>
      </c>
      <c r="L102" s="156">
        <f>'KW 15'!AO8</f>
        <v>0</v>
      </c>
      <c r="M102" s="159">
        <f>'KW 15'!AP8</f>
        <v>0</v>
      </c>
    </row>
    <row r="103" spans="4:13">
      <c r="D103" s="130" t="s">
        <v>217</v>
      </c>
      <c r="E103" s="135">
        <f>'KW 15'!AH9</f>
        <v>0</v>
      </c>
      <c r="F103" s="138">
        <f>'KW 15'!AI9</f>
        <v>0</v>
      </c>
      <c r="G103" s="141">
        <f>'KW 15'!AJ9</f>
        <v>0</v>
      </c>
      <c r="H103" s="144">
        <f>'KW 15'!AK9</f>
        <v>0</v>
      </c>
      <c r="I103" s="147">
        <f>'KW 15'!AL9</f>
        <v>0</v>
      </c>
      <c r="J103" s="150">
        <f>'KW 15'!AM9</f>
        <v>0</v>
      </c>
      <c r="K103" s="153">
        <f>'KW 15'!AN9</f>
        <v>0</v>
      </c>
      <c r="L103" s="156">
        <f>'KW 15'!AO9</f>
        <v>0</v>
      </c>
      <c r="M103" s="159">
        <f>'KW 15'!AP9</f>
        <v>0</v>
      </c>
    </row>
    <row r="104" spans="4:13">
      <c r="D104" s="130" t="s">
        <v>218</v>
      </c>
      <c r="E104" s="135">
        <f>'KW 15'!AH10</f>
        <v>0</v>
      </c>
      <c r="F104" s="138">
        <f>'KW 15'!AI10</f>
        <v>0</v>
      </c>
      <c r="G104" s="141">
        <f>'KW 15'!AJ10</f>
        <v>0</v>
      </c>
      <c r="H104" s="144">
        <f>'KW 15'!AK10</f>
        <v>0</v>
      </c>
      <c r="I104" s="147">
        <f>'KW 15'!AL10</f>
        <v>0</v>
      </c>
      <c r="J104" s="150">
        <f>'KW 15'!AM10</f>
        <v>0</v>
      </c>
      <c r="K104" s="153">
        <f>'KW 15'!AN10</f>
        <v>0</v>
      </c>
      <c r="L104" s="156">
        <f>'KW 15'!AO10</f>
        <v>0</v>
      </c>
      <c r="M104" s="159">
        <f>'KW 15'!AP10</f>
        <v>0</v>
      </c>
    </row>
    <row r="105" spans="4:13">
      <c r="D105" s="130" t="s">
        <v>219</v>
      </c>
      <c r="E105" s="135">
        <f>'KW 15'!AH11</f>
        <v>0</v>
      </c>
      <c r="F105" s="138">
        <f>'KW 15'!AI11</f>
        <v>0</v>
      </c>
      <c r="G105" s="141">
        <f>'KW 15'!AJ11</f>
        <v>0</v>
      </c>
      <c r="H105" s="144">
        <f>'KW 15'!AK11</f>
        <v>0</v>
      </c>
      <c r="I105" s="147">
        <f>'KW 15'!AL11</f>
        <v>0</v>
      </c>
      <c r="J105" s="150">
        <f>'KW 15'!AM11</f>
        <v>0</v>
      </c>
      <c r="K105" s="153">
        <f>'KW 15'!AN11</f>
        <v>0</v>
      </c>
      <c r="L105" s="156">
        <f>'KW 15'!AO11</f>
        <v>0</v>
      </c>
      <c r="M105" s="159">
        <f>'KW 15'!AP11</f>
        <v>0</v>
      </c>
    </row>
    <row r="106" spans="4:13">
      <c r="D106" s="130" t="s">
        <v>220</v>
      </c>
      <c r="E106" s="135">
        <f>'KW 15'!AH5</f>
        <v>0</v>
      </c>
      <c r="F106" s="138">
        <f>'KW 15'!AI5</f>
        <v>0</v>
      </c>
      <c r="G106" s="141">
        <f>'KW 15'!AJ5</f>
        <v>0</v>
      </c>
      <c r="H106" s="144">
        <f>'KW 15'!AK5</f>
        <v>0</v>
      </c>
      <c r="I106" s="147">
        <f>'KW 15'!AL5</f>
        <v>0</v>
      </c>
      <c r="J106" s="150">
        <f>'KW 15'!AM5</f>
        <v>0</v>
      </c>
      <c r="K106" s="153">
        <f>'KW 15'!AN5</f>
        <v>0</v>
      </c>
      <c r="L106" s="156">
        <f>'KW 15'!AO5</f>
        <v>0</v>
      </c>
      <c r="M106" s="159">
        <f>'KW 15'!AP5</f>
        <v>0</v>
      </c>
    </row>
    <row r="107" spans="4:13">
      <c r="D107" s="130" t="s">
        <v>221</v>
      </c>
      <c r="E107" s="135">
        <f>'KW 15'!AH6</f>
        <v>0</v>
      </c>
      <c r="F107" s="138">
        <f>'KW 15'!AI6</f>
        <v>0</v>
      </c>
      <c r="G107" s="141">
        <f>'KW 15'!AJ6</f>
        <v>0</v>
      </c>
      <c r="H107" s="144">
        <f>'KW 15'!AK6</f>
        <v>0</v>
      </c>
      <c r="I107" s="147">
        <f>'KW 15'!AL6</f>
        <v>0</v>
      </c>
      <c r="J107" s="150">
        <f>'KW 15'!AM6</f>
        <v>0</v>
      </c>
      <c r="K107" s="153">
        <f>'KW 15'!AN6</f>
        <v>0</v>
      </c>
      <c r="L107" s="156">
        <f>'KW 15'!AO6</f>
        <v>0</v>
      </c>
      <c r="M107" s="159">
        <f>'KW 15'!AP6</f>
        <v>0</v>
      </c>
    </row>
    <row r="108" spans="4:13">
      <c r="D108" s="130" t="s">
        <v>222</v>
      </c>
      <c r="E108" s="135">
        <f>'KW 16'!AH7</f>
        <v>0</v>
      </c>
      <c r="F108" s="138">
        <f>'KW 16'!AI7</f>
        <v>0</v>
      </c>
      <c r="G108" s="141">
        <f>'KW 16'!AJ7</f>
        <v>0</v>
      </c>
      <c r="H108" s="144">
        <f>'KW 16'!AK7</f>
        <v>0</v>
      </c>
      <c r="I108" s="147">
        <f>'KW 16'!AL7</f>
        <v>0</v>
      </c>
      <c r="J108" s="150">
        <f>'KW 16'!AM7</f>
        <v>0</v>
      </c>
      <c r="K108" s="153">
        <f>'KW 16'!AN7</f>
        <v>0</v>
      </c>
      <c r="L108" s="156">
        <f>'KW 16'!AO7</f>
        <v>0</v>
      </c>
      <c r="M108" s="159">
        <f>'KW 16'!AP7</f>
        <v>0</v>
      </c>
    </row>
    <row r="109" spans="4:13">
      <c r="D109" s="130" t="s">
        <v>223</v>
      </c>
      <c r="E109" s="135">
        <f>'KW 16'!AH8</f>
        <v>0</v>
      </c>
      <c r="F109" s="138">
        <f>'KW 16'!AI8</f>
        <v>0</v>
      </c>
      <c r="G109" s="141">
        <f>'KW 16'!AJ8</f>
        <v>0</v>
      </c>
      <c r="H109" s="144">
        <f>'KW 16'!AK8</f>
        <v>0</v>
      </c>
      <c r="I109" s="147">
        <f>'KW 16'!AL8</f>
        <v>0</v>
      </c>
      <c r="J109" s="150">
        <f>'KW 16'!AM8</f>
        <v>0</v>
      </c>
      <c r="K109" s="153">
        <f>'KW 16'!AN8</f>
        <v>0</v>
      </c>
      <c r="L109" s="156">
        <f>'KW 16'!AO8</f>
        <v>0</v>
      </c>
      <c r="M109" s="159">
        <f>'KW 16'!AP8</f>
        <v>0</v>
      </c>
    </row>
    <row r="110" spans="4:13">
      <c r="D110" s="130" t="s">
        <v>224</v>
      </c>
      <c r="E110" s="135">
        <f>'KW 16'!AH9</f>
        <v>0</v>
      </c>
      <c r="F110" s="138">
        <f>'KW 16'!AI9</f>
        <v>0</v>
      </c>
      <c r="G110" s="141">
        <f>'KW 16'!AJ9</f>
        <v>0</v>
      </c>
      <c r="H110" s="144">
        <f>'KW 16'!AK9</f>
        <v>0</v>
      </c>
      <c r="I110" s="147">
        <f>'KW 16'!AL9</f>
        <v>0</v>
      </c>
      <c r="J110" s="150">
        <f>'KW 16'!AM9</f>
        <v>0</v>
      </c>
      <c r="K110" s="153">
        <f>'KW 16'!AN9</f>
        <v>0</v>
      </c>
      <c r="L110" s="156">
        <f>'KW 16'!AO9</f>
        <v>0</v>
      </c>
      <c r="M110" s="159">
        <f>'KW 16'!AP9</f>
        <v>0</v>
      </c>
    </row>
    <row r="111" spans="4:13">
      <c r="D111" s="130" t="s">
        <v>225</v>
      </c>
      <c r="E111" s="135">
        <f>'KW 16'!AH10</f>
        <v>0</v>
      </c>
      <c r="F111" s="138">
        <f>'KW 16'!AI10</f>
        <v>0</v>
      </c>
      <c r="G111" s="141">
        <f>'KW 16'!AJ10</f>
        <v>0</v>
      </c>
      <c r="H111" s="144">
        <f>'KW 16'!AK10</f>
        <v>0</v>
      </c>
      <c r="I111" s="147">
        <f>'KW 16'!AL10</f>
        <v>0</v>
      </c>
      <c r="J111" s="150">
        <f>'KW 16'!AM10</f>
        <v>0</v>
      </c>
      <c r="K111" s="153">
        <f>'KW 16'!AN10</f>
        <v>0</v>
      </c>
      <c r="L111" s="156">
        <f>'KW 16'!AO10</f>
        <v>0</v>
      </c>
      <c r="M111" s="159">
        <f>'KW 16'!AP10</f>
        <v>0</v>
      </c>
    </row>
    <row r="112" spans="4:13">
      <c r="D112" s="130" t="s">
        <v>226</v>
      </c>
      <c r="E112" s="135">
        <f>'KW 16'!AH11</f>
        <v>0</v>
      </c>
      <c r="F112" s="138">
        <f>'KW 16'!AI11</f>
        <v>0</v>
      </c>
      <c r="G112" s="141">
        <f>'KW 16'!AJ11</f>
        <v>0</v>
      </c>
      <c r="H112" s="144">
        <f>'KW 16'!AK11</f>
        <v>0</v>
      </c>
      <c r="I112" s="147">
        <f>'KW 16'!AL11</f>
        <v>0</v>
      </c>
      <c r="J112" s="150">
        <f>'KW 16'!AM11</f>
        <v>0</v>
      </c>
      <c r="K112" s="153">
        <f>'KW 16'!AN11</f>
        <v>0</v>
      </c>
      <c r="L112" s="156">
        <f>'KW 16'!AO11</f>
        <v>0</v>
      </c>
      <c r="M112" s="159">
        <f>'KW 16'!AP11</f>
        <v>0</v>
      </c>
    </row>
    <row r="113" spans="4:13">
      <c r="D113" s="130" t="s">
        <v>227</v>
      </c>
      <c r="E113" s="135">
        <f>'KW 16'!AH5</f>
        <v>0</v>
      </c>
      <c r="F113" s="138">
        <f>'KW 16'!AI5</f>
        <v>0</v>
      </c>
      <c r="G113" s="141">
        <f>'KW 16'!AJ5</f>
        <v>0</v>
      </c>
      <c r="H113" s="144">
        <f>'KW 16'!AK5</f>
        <v>0</v>
      </c>
      <c r="I113" s="147">
        <f>'KW 16'!AL5</f>
        <v>0</v>
      </c>
      <c r="J113" s="150">
        <f>'KW 16'!AM5</f>
        <v>0</v>
      </c>
      <c r="K113" s="153">
        <f>'KW 16'!AN5</f>
        <v>0</v>
      </c>
      <c r="L113" s="156">
        <f>'KW 16'!AO5</f>
        <v>0</v>
      </c>
      <c r="M113" s="159">
        <f>'KW 16'!AP5</f>
        <v>0</v>
      </c>
    </row>
    <row r="114" spans="4:13">
      <c r="D114" s="130" t="s">
        <v>228</v>
      </c>
      <c r="E114" s="135">
        <f>'KW 16'!AH6</f>
        <v>0</v>
      </c>
      <c r="F114" s="138">
        <f>'KW 16'!AI6</f>
        <v>0</v>
      </c>
      <c r="G114" s="141">
        <f>'KW 16'!AJ6</f>
        <v>0</v>
      </c>
      <c r="H114" s="144">
        <f>'KW 16'!AK6</f>
        <v>0</v>
      </c>
      <c r="I114" s="147">
        <f>'KW 16'!AL6</f>
        <v>0</v>
      </c>
      <c r="J114" s="150">
        <f>'KW 16'!AM6</f>
        <v>0</v>
      </c>
      <c r="K114" s="153">
        <f>'KW 16'!AN6</f>
        <v>0</v>
      </c>
      <c r="L114" s="156">
        <f>'KW 16'!AO6</f>
        <v>0</v>
      </c>
      <c r="M114" s="159">
        <f>'KW 16'!AP6</f>
        <v>0</v>
      </c>
    </row>
    <row r="115" spans="4:13">
      <c r="D115" s="130" t="s">
        <v>229</v>
      </c>
      <c r="E115" s="135">
        <f>'KW 17'!AH7</f>
        <v>0</v>
      </c>
      <c r="F115" s="138">
        <f>'KW 17'!AI7</f>
        <v>0</v>
      </c>
      <c r="G115" s="141">
        <f>'KW 17'!AJ7</f>
        <v>0</v>
      </c>
      <c r="H115" s="144">
        <f>'KW 17'!AK7</f>
        <v>0</v>
      </c>
      <c r="I115" s="147">
        <f>'KW 17'!AL7</f>
        <v>0</v>
      </c>
      <c r="J115" s="150">
        <f>'KW 17'!AM7</f>
        <v>0</v>
      </c>
      <c r="K115" s="153">
        <f>'KW 17'!AN7</f>
        <v>0</v>
      </c>
      <c r="L115" s="156">
        <f>'KW 17'!AO7</f>
        <v>0</v>
      </c>
      <c r="M115" s="159">
        <f>'KW 17'!AP7</f>
        <v>0</v>
      </c>
    </row>
    <row r="116" spans="4:13">
      <c r="D116" s="130" t="s">
        <v>230</v>
      </c>
      <c r="E116" s="135">
        <f>'KW 17'!AH8</f>
        <v>0</v>
      </c>
      <c r="F116" s="138">
        <f>'KW 17'!AI8</f>
        <v>0</v>
      </c>
      <c r="G116" s="141">
        <f>'KW 17'!AJ8</f>
        <v>0</v>
      </c>
      <c r="H116" s="144">
        <f>'KW 17'!AK8</f>
        <v>0</v>
      </c>
      <c r="I116" s="147">
        <f>'KW 17'!AL8</f>
        <v>0</v>
      </c>
      <c r="J116" s="150">
        <f>'KW 17'!AM8</f>
        <v>0</v>
      </c>
      <c r="K116" s="153">
        <f>'KW 17'!AN8</f>
        <v>0</v>
      </c>
      <c r="L116" s="156">
        <f>'KW 17'!AO8</f>
        <v>0</v>
      </c>
      <c r="M116" s="159">
        <f>'KW 17'!AP8</f>
        <v>0</v>
      </c>
    </row>
    <row r="117" spans="4:13">
      <c r="D117" s="130" t="s">
        <v>231</v>
      </c>
      <c r="E117" s="135">
        <f>'KW 17'!AH9</f>
        <v>0</v>
      </c>
      <c r="F117" s="138">
        <f>'KW 17'!AI9</f>
        <v>0</v>
      </c>
      <c r="G117" s="141">
        <f>'KW 17'!AJ9</f>
        <v>0</v>
      </c>
      <c r="H117" s="144">
        <f>'KW 17'!AK9</f>
        <v>0</v>
      </c>
      <c r="I117" s="147">
        <f>'KW 17'!AL9</f>
        <v>0</v>
      </c>
      <c r="J117" s="150">
        <f>'KW 17'!AM9</f>
        <v>0</v>
      </c>
      <c r="K117" s="153">
        <f>'KW 17'!AN9</f>
        <v>0</v>
      </c>
      <c r="L117" s="156">
        <f>'KW 17'!AO9</f>
        <v>0</v>
      </c>
      <c r="M117" s="159">
        <f>'KW 17'!AP9</f>
        <v>0</v>
      </c>
    </row>
    <row r="118" spans="4:13">
      <c r="D118" s="130" t="s">
        <v>232</v>
      </c>
      <c r="E118" s="135">
        <f>'KW 17'!AH10</f>
        <v>0</v>
      </c>
      <c r="F118" s="138">
        <f>'KW 17'!AI10</f>
        <v>0</v>
      </c>
      <c r="G118" s="141">
        <f>'KW 17'!AJ10</f>
        <v>0</v>
      </c>
      <c r="H118" s="144">
        <f>'KW 17'!AK10</f>
        <v>0</v>
      </c>
      <c r="I118" s="147">
        <f>'KW 17'!AL10</f>
        <v>0</v>
      </c>
      <c r="J118" s="150">
        <f>'KW 17'!AM10</f>
        <v>0</v>
      </c>
      <c r="K118" s="153">
        <f>'KW 17'!AN10</f>
        <v>0</v>
      </c>
      <c r="L118" s="156">
        <f>'KW 17'!AO10</f>
        <v>0</v>
      </c>
      <c r="M118" s="159">
        <f>'KW 17'!AP10</f>
        <v>0</v>
      </c>
    </row>
    <row r="119" spans="4:13">
      <c r="D119" s="130" t="s">
        <v>233</v>
      </c>
      <c r="E119" s="135">
        <f>'KW 17'!AH11</f>
        <v>0</v>
      </c>
      <c r="F119" s="138">
        <f>'KW 17'!AI11</f>
        <v>0</v>
      </c>
      <c r="G119" s="141">
        <f>'KW 17'!AJ11</f>
        <v>0</v>
      </c>
      <c r="H119" s="144">
        <f>'KW 17'!AK11</f>
        <v>0</v>
      </c>
      <c r="I119" s="147">
        <f>'KW 17'!AL11</f>
        <v>0</v>
      </c>
      <c r="J119" s="150">
        <f>'KW 17'!AM11</f>
        <v>0</v>
      </c>
      <c r="K119" s="153">
        <f>'KW 17'!AN11</f>
        <v>0</v>
      </c>
      <c r="L119" s="156">
        <f>'KW 17'!AO11</f>
        <v>0</v>
      </c>
      <c r="M119" s="159">
        <f>'KW 17'!AP11</f>
        <v>0</v>
      </c>
    </row>
    <row r="120" spans="4:13">
      <c r="D120" s="130" t="s">
        <v>234</v>
      </c>
      <c r="E120" s="135">
        <f>'KW 17'!AH5</f>
        <v>0</v>
      </c>
      <c r="F120" s="138">
        <f>'KW 17'!AI5</f>
        <v>0</v>
      </c>
      <c r="G120" s="141">
        <f>'KW 17'!AJ5</f>
        <v>0</v>
      </c>
      <c r="H120" s="144">
        <f>'KW 17'!AK5</f>
        <v>0</v>
      </c>
      <c r="I120" s="147">
        <f>'KW 17'!AL5</f>
        <v>0</v>
      </c>
      <c r="J120" s="150">
        <f>'KW 17'!AM5</f>
        <v>0</v>
      </c>
      <c r="K120" s="153">
        <f>'KW 17'!AN5</f>
        <v>0</v>
      </c>
      <c r="L120" s="156">
        <f>'KW 17'!AO5</f>
        <v>0</v>
      </c>
      <c r="M120" s="159">
        <f>'KW 17'!AP5</f>
        <v>0</v>
      </c>
    </row>
    <row r="121" spans="4:13">
      <c r="D121" s="130" t="s">
        <v>235</v>
      </c>
      <c r="E121" s="135">
        <f>'KW 17'!AH6</f>
        <v>0</v>
      </c>
      <c r="F121" s="138">
        <f>'KW 17'!AI6</f>
        <v>0</v>
      </c>
      <c r="G121" s="141">
        <f>'KW 17'!AJ6</f>
        <v>0</v>
      </c>
      <c r="H121" s="144">
        <f>'KW 17'!AK6</f>
        <v>0</v>
      </c>
      <c r="I121" s="147">
        <f>'KW 17'!AL6</f>
        <v>0</v>
      </c>
      <c r="J121" s="150">
        <f>'KW 17'!AM6</f>
        <v>0</v>
      </c>
      <c r="K121" s="153">
        <f>'KW 17'!AN6</f>
        <v>0</v>
      </c>
      <c r="L121" s="156">
        <f>'KW 17'!AO6</f>
        <v>0</v>
      </c>
      <c r="M121" s="159">
        <f>'KW 17'!AP6</f>
        <v>0</v>
      </c>
    </row>
    <row r="122" spans="4:13">
      <c r="D122" s="130" t="s">
        <v>236</v>
      </c>
      <c r="E122" s="135">
        <f>'KW 18'!AH7</f>
        <v>0</v>
      </c>
      <c r="F122" s="138">
        <f>'KW 18'!AI7</f>
        <v>0</v>
      </c>
      <c r="G122" s="141">
        <f>'KW 18'!AJ7</f>
        <v>0</v>
      </c>
      <c r="H122" s="144">
        <f>'KW 18'!AK7</f>
        <v>0</v>
      </c>
      <c r="I122" s="147">
        <f>'KW 18'!AL7</f>
        <v>0</v>
      </c>
      <c r="J122" s="150">
        <f>'KW 18'!AM7</f>
        <v>0</v>
      </c>
      <c r="K122" s="153">
        <f>'KW 18'!AN7</f>
        <v>0</v>
      </c>
      <c r="L122" s="156">
        <f>'KW 18'!AO7</f>
        <v>0</v>
      </c>
      <c r="M122" s="159">
        <f>'KW 18'!AP7</f>
        <v>0</v>
      </c>
    </row>
    <row r="123" spans="4:13">
      <c r="D123" s="127" t="s">
        <v>237</v>
      </c>
      <c r="E123" s="134">
        <f>'KW 18'!AH8</f>
        <v>0</v>
      </c>
      <c r="F123" s="137">
        <f>'KW 18'!AI8</f>
        <v>0</v>
      </c>
      <c r="G123" s="140">
        <f>'KW 18'!AJ8</f>
        <v>0</v>
      </c>
      <c r="H123" s="143">
        <f>'KW 18'!AK8</f>
        <v>0</v>
      </c>
      <c r="I123" s="146">
        <f>'KW 18'!AL8</f>
        <v>0</v>
      </c>
      <c r="J123" s="149">
        <f>'KW 18'!AM8</f>
        <v>0</v>
      </c>
      <c r="K123" s="152">
        <f>'KW 18'!AN8</f>
        <v>0</v>
      </c>
      <c r="L123" s="155">
        <f>'KW 18'!AO8</f>
        <v>0</v>
      </c>
      <c r="M123" s="158">
        <f>'KW 18'!AP8</f>
        <v>0</v>
      </c>
    </row>
    <row r="124" spans="4:13">
      <c r="D124" s="127" t="s">
        <v>238</v>
      </c>
      <c r="E124" s="134">
        <f>'KW 18'!AH9</f>
        <v>0</v>
      </c>
      <c r="F124" s="137">
        <f>'KW 18'!AI9</f>
        <v>0</v>
      </c>
      <c r="G124" s="140">
        <f>'KW 18'!AJ9</f>
        <v>0</v>
      </c>
      <c r="H124" s="143">
        <f>'KW 18'!AK9</f>
        <v>0</v>
      </c>
      <c r="I124" s="146">
        <f>'KW 18'!AL9</f>
        <v>0</v>
      </c>
      <c r="J124" s="149">
        <f>'KW 18'!AM9</f>
        <v>0</v>
      </c>
      <c r="K124" s="152">
        <f>'KW 18'!AN9</f>
        <v>0</v>
      </c>
      <c r="L124" s="155">
        <f>'KW 18'!AO9</f>
        <v>0</v>
      </c>
      <c r="M124" s="158">
        <f>'KW 18'!AP9</f>
        <v>0</v>
      </c>
    </row>
    <row r="125" spans="4:13">
      <c r="D125" s="127" t="s">
        <v>239</v>
      </c>
      <c r="E125" s="134">
        <f>'KW 18'!AH10</f>
        <v>0</v>
      </c>
      <c r="F125" s="137">
        <f>'KW 18'!AI10</f>
        <v>0</v>
      </c>
      <c r="G125" s="140">
        <f>'KW 18'!AJ10</f>
        <v>0</v>
      </c>
      <c r="H125" s="143">
        <f>'KW 18'!AK10</f>
        <v>0</v>
      </c>
      <c r="I125" s="146">
        <f>'KW 18'!AL10</f>
        <v>0</v>
      </c>
      <c r="J125" s="149">
        <f>'KW 18'!AM10</f>
        <v>0</v>
      </c>
      <c r="K125" s="152">
        <f>'KW 18'!AN10</f>
        <v>0</v>
      </c>
      <c r="L125" s="155">
        <f>'KW 18'!AO10</f>
        <v>0</v>
      </c>
      <c r="M125" s="158">
        <f>'KW 18'!AP10</f>
        <v>0</v>
      </c>
    </row>
    <row r="126" spans="4:13">
      <c r="D126" s="127" t="s">
        <v>240</v>
      </c>
      <c r="E126" s="134">
        <f>'KW 18'!AH11</f>
        <v>0</v>
      </c>
      <c r="F126" s="137">
        <f>'KW 18'!AI11</f>
        <v>0</v>
      </c>
      <c r="G126" s="140">
        <f>'KW 18'!AJ11</f>
        <v>0</v>
      </c>
      <c r="H126" s="143">
        <f>'KW 18'!AK11</f>
        <v>0</v>
      </c>
      <c r="I126" s="146">
        <f>'KW 18'!AL11</f>
        <v>0</v>
      </c>
      <c r="J126" s="149">
        <f>'KW 18'!AM11</f>
        <v>0</v>
      </c>
      <c r="K126" s="152">
        <f>'KW 18'!AN11</f>
        <v>0</v>
      </c>
      <c r="L126" s="155">
        <f>'KW 18'!AO11</f>
        <v>0</v>
      </c>
      <c r="M126" s="158">
        <f>'KW 18'!AP11</f>
        <v>0</v>
      </c>
    </row>
    <row r="127" spans="4:13">
      <c r="D127" s="127" t="s">
        <v>241</v>
      </c>
      <c r="E127" s="134">
        <f>'KW 18'!AH5</f>
        <v>0</v>
      </c>
      <c r="F127" s="137">
        <f>'KW 18'!AI5</f>
        <v>0</v>
      </c>
      <c r="G127" s="140">
        <f>'KW 18'!AJ5</f>
        <v>0</v>
      </c>
      <c r="H127" s="143">
        <f>'KW 18'!AK5</f>
        <v>0</v>
      </c>
      <c r="I127" s="146">
        <f>'KW 18'!AL5</f>
        <v>0</v>
      </c>
      <c r="J127" s="149">
        <f>'KW 18'!AM5</f>
        <v>0</v>
      </c>
      <c r="K127" s="152">
        <f>'KW 18'!AN5</f>
        <v>0</v>
      </c>
      <c r="L127" s="155">
        <f>'KW 18'!AO5</f>
        <v>0</v>
      </c>
      <c r="M127" s="158">
        <f>'KW 18'!AP5</f>
        <v>0</v>
      </c>
    </row>
    <row r="128" spans="4:13">
      <c r="D128" s="127" t="s">
        <v>242</v>
      </c>
      <c r="E128" s="134">
        <f>'KW 18'!AH6</f>
        <v>0</v>
      </c>
      <c r="F128" s="137">
        <f>'KW 18'!AI6</f>
        <v>0</v>
      </c>
      <c r="G128" s="140">
        <f>'KW 18'!AJ6</f>
        <v>0</v>
      </c>
      <c r="H128" s="143">
        <f>'KW 18'!AK6</f>
        <v>0</v>
      </c>
      <c r="I128" s="146">
        <f>'KW 18'!AL6</f>
        <v>0</v>
      </c>
      <c r="J128" s="149">
        <f>'KW 18'!AM6</f>
        <v>0</v>
      </c>
      <c r="K128" s="152">
        <f>'KW 18'!AN6</f>
        <v>0</v>
      </c>
      <c r="L128" s="155">
        <f>'KW 18'!AO6</f>
        <v>0</v>
      </c>
      <c r="M128" s="158">
        <f>'KW 18'!AP6</f>
        <v>0</v>
      </c>
    </row>
    <row r="129" spans="4:13">
      <c r="D129" s="127" t="s">
        <v>243</v>
      </c>
      <c r="E129" s="134">
        <f>'KW 19'!AH7</f>
        <v>0</v>
      </c>
      <c r="F129" s="137">
        <f>'KW 19'!AI7</f>
        <v>0</v>
      </c>
      <c r="G129" s="140">
        <f>'KW 19'!AJ7</f>
        <v>0</v>
      </c>
      <c r="H129" s="143">
        <f>'KW 19'!AK7</f>
        <v>0</v>
      </c>
      <c r="I129" s="146">
        <f>'KW 19'!AL7</f>
        <v>0</v>
      </c>
      <c r="J129" s="149">
        <f>'KW 19'!AM7</f>
        <v>0</v>
      </c>
      <c r="K129" s="152">
        <f>'KW 19'!AN7</f>
        <v>0</v>
      </c>
      <c r="L129" s="155">
        <f>'KW 19'!AO7</f>
        <v>0</v>
      </c>
      <c r="M129" s="158">
        <f>'KW 19'!AP7</f>
        <v>0</v>
      </c>
    </row>
    <row r="130" spans="4:13">
      <c r="D130" s="127" t="s">
        <v>244</v>
      </c>
      <c r="E130" s="134">
        <f>'KW 19'!AH8</f>
        <v>0</v>
      </c>
      <c r="F130" s="137">
        <f>'KW 19'!AI8</f>
        <v>0</v>
      </c>
      <c r="G130" s="140">
        <f>'KW 19'!AJ8</f>
        <v>0</v>
      </c>
      <c r="H130" s="143">
        <f>'KW 19'!AK8</f>
        <v>0</v>
      </c>
      <c r="I130" s="146">
        <f>'KW 19'!AL8</f>
        <v>0</v>
      </c>
      <c r="J130" s="149">
        <f>'KW 19'!AM8</f>
        <v>0</v>
      </c>
      <c r="K130" s="152">
        <f>'KW 19'!AN8</f>
        <v>0</v>
      </c>
      <c r="L130" s="155">
        <f>'KW 19'!AO8</f>
        <v>0</v>
      </c>
      <c r="M130" s="158">
        <f>'KW 19'!AP8</f>
        <v>0</v>
      </c>
    </row>
    <row r="131" spans="4:13">
      <c r="D131" s="127" t="s">
        <v>245</v>
      </c>
      <c r="E131" s="134">
        <f>'KW 19'!AH9</f>
        <v>0</v>
      </c>
      <c r="F131" s="137">
        <f>'KW 19'!AI9</f>
        <v>0</v>
      </c>
      <c r="G131" s="140">
        <f>'KW 19'!AJ9</f>
        <v>0</v>
      </c>
      <c r="H131" s="143">
        <f>'KW 19'!AK9</f>
        <v>0</v>
      </c>
      <c r="I131" s="146">
        <f>'KW 19'!AL9</f>
        <v>0</v>
      </c>
      <c r="J131" s="149">
        <f>'KW 19'!AM9</f>
        <v>0</v>
      </c>
      <c r="K131" s="152">
        <f>'KW 19'!AN9</f>
        <v>0</v>
      </c>
      <c r="L131" s="155">
        <f>'KW 19'!AO9</f>
        <v>0</v>
      </c>
      <c r="M131" s="158">
        <f>'KW 19'!AP9</f>
        <v>0</v>
      </c>
    </row>
    <row r="132" spans="4:13">
      <c r="D132" s="127" t="s">
        <v>246</v>
      </c>
      <c r="E132" s="134">
        <f>'KW 19'!AH10</f>
        <v>0</v>
      </c>
      <c r="F132" s="137">
        <f>'KW 19'!AI10</f>
        <v>0</v>
      </c>
      <c r="G132" s="140">
        <f>'KW 19'!AJ10</f>
        <v>0</v>
      </c>
      <c r="H132" s="143">
        <f>'KW 19'!AK10</f>
        <v>0</v>
      </c>
      <c r="I132" s="146">
        <f>'KW 19'!AL10</f>
        <v>0</v>
      </c>
      <c r="J132" s="149">
        <f>'KW 19'!AM10</f>
        <v>0</v>
      </c>
      <c r="K132" s="152">
        <f>'KW 19'!AN10</f>
        <v>0</v>
      </c>
      <c r="L132" s="155">
        <f>'KW 19'!AO10</f>
        <v>0</v>
      </c>
      <c r="M132" s="158">
        <f>'KW 19'!AP10</f>
        <v>0</v>
      </c>
    </row>
    <row r="133" spans="4:13">
      <c r="D133" s="127" t="s">
        <v>247</v>
      </c>
      <c r="E133" s="134">
        <f>'KW 19'!AH11</f>
        <v>0</v>
      </c>
      <c r="F133" s="137">
        <f>'KW 19'!AI11</f>
        <v>0</v>
      </c>
      <c r="G133" s="140">
        <f>'KW 19'!AJ11</f>
        <v>0</v>
      </c>
      <c r="H133" s="143">
        <f>'KW 19'!AK11</f>
        <v>0</v>
      </c>
      <c r="I133" s="146">
        <f>'KW 19'!AL11</f>
        <v>0</v>
      </c>
      <c r="J133" s="149">
        <f>'KW 19'!AM11</f>
        <v>0</v>
      </c>
      <c r="K133" s="152">
        <f>'KW 19'!AN11</f>
        <v>0</v>
      </c>
      <c r="L133" s="155">
        <f>'KW 19'!AO11</f>
        <v>0</v>
      </c>
      <c r="M133" s="158">
        <f>'KW 19'!AP11</f>
        <v>0</v>
      </c>
    </row>
    <row r="134" spans="4:13">
      <c r="D134" s="127" t="s">
        <v>248</v>
      </c>
      <c r="E134" s="134">
        <f>'KW 19'!AH5</f>
        <v>0</v>
      </c>
      <c r="F134" s="137">
        <f>'KW 19'!AI5</f>
        <v>0</v>
      </c>
      <c r="G134" s="140">
        <f>'KW 19'!AJ5</f>
        <v>0</v>
      </c>
      <c r="H134" s="143">
        <f>'KW 19'!AK5</f>
        <v>0</v>
      </c>
      <c r="I134" s="146">
        <f>'KW 19'!AL5</f>
        <v>0</v>
      </c>
      <c r="J134" s="149">
        <f>'KW 19'!AM5</f>
        <v>0</v>
      </c>
      <c r="K134" s="152">
        <f>'KW 19'!AN5</f>
        <v>0</v>
      </c>
      <c r="L134" s="155">
        <f>'KW 19'!AO5</f>
        <v>0</v>
      </c>
      <c r="M134" s="158">
        <f>'KW 19'!AP5</f>
        <v>0</v>
      </c>
    </row>
    <row r="135" spans="4:13">
      <c r="D135" s="127" t="s">
        <v>249</v>
      </c>
      <c r="E135" s="134">
        <f>'KW 19'!AH6</f>
        <v>0</v>
      </c>
      <c r="F135" s="137">
        <f>'KW 19'!AI6</f>
        <v>0</v>
      </c>
      <c r="G135" s="140">
        <f>'KW 19'!AJ6</f>
        <v>0</v>
      </c>
      <c r="H135" s="143">
        <f>'KW 19'!AK6</f>
        <v>0</v>
      </c>
      <c r="I135" s="146">
        <f>'KW 19'!AL6</f>
        <v>0</v>
      </c>
      <c r="J135" s="149">
        <f>'KW 19'!AM6</f>
        <v>0</v>
      </c>
      <c r="K135" s="152">
        <f>'KW 19'!AN6</f>
        <v>0</v>
      </c>
      <c r="L135" s="155">
        <f>'KW 19'!AO6</f>
        <v>0</v>
      </c>
      <c r="M135" s="158">
        <f>'KW 19'!AP6</f>
        <v>0</v>
      </c>
    </row>
    <row r="136" spans="4:13">
      <c r="D136" s="127" t="s">
        <v>250</v>
      </c>
      <c r="E136" s="134">
        <f>'KW 20'!AH7</f>
        <v>0</v>
      </c>
      <c r="F136" s="137">
        <f>'KW 20'!AI7</f>
        <v>0</v>
      </c>
      <c r="G136" s="140">
        <f>'KW 20'!AJ7</f>
        <v>0</v>
      </c>
      <c r="H136" s="143">
        <f>'KW 20'!AK7</f>
        <v>0</v>
      </c>
      <c r="I136" s="146">
        <f>'KW 20'!AL7</f>
        <v>0</v>
      </c>
      <c r="J136" s="149">
        <f>'KW 20'!AM7</f>
        <v>0</v>
      </c>
      <c r="K136" s="152">
        <f>'KW 20'!AN7</f>
        <v>0</v>
      </c>
      <c r="L136" s="155">
        <f>'KW 20'!AO7</f>
        <v>0</v>
      </c>
      <c r="M136" s="158">
        <f>'KW 20'!AP7</f>
        <v>0</v>
      </c>
    </row>
    <row r="137" spans="4:13">
      <c r="D137" s="127" t="s">
        <v>251</v>
      </c>
      <c r="E137" s="134">
        <f>'KW 20'!AH8</f>
        <v>0</v>
      </c>
      <c r="F137" s="137">
        <f>'KW 20'!AI8</f>
        <v>0</v>
      </c>
      <c r="G137" s="140">
        <f>'KW 20'!AJ8</f>
        <v>0</v>
      </c>
      <c r="H137" s="143">
        <f>'KW 20'!AK8</f>
        <v>0</v>
      </c>
      <c r="I137" s="146">
        <f>'KW 20'!AL8</f>
        <v>0</v>
      </c>
      <c r="J137" s="149">
        <f>'KW 20'!AM8</f>
        <v>0</v>
      </c>
      <c r="K137" s="152">
        <f>'KW 20'!AN8</f>
        <v>0</v>
      </c>
      <c r="L137" s="155">
        <f>'KW 20'!AO8</f>
        <v>0</v>
      </c>
      <c r="M137" s="158">
        <f>'KW 20'!AP8</f>
        <v>0</v>
      </c>
    </row>
    <row r="138" spans="4:13">
      <c r="D138" s="127" t="s">
        <v>252</v>
      </c>
      <c r="E138" s="134">
        <f>'KW 20'!AH9</f>
        <v>0</v>
      </c>
      <c r="F138" s="137">
        <f>'KW 20'!AI9</f>
        <v>0</v>
      </c>
      <c r="G138" s="140">
        <f>'KW 20'!AJ9</f>
        <v>0</v>
      </c>
      <c r="H138" s="143">
        <f>'KW 20'!AK9</f>
        <v>0</v>
      </c>
      <c r="I138" s="146">
        <f>'KW 20'!AL9</f>
        <v>0</v>
      </c>
      <c r="J138" s="149">
        <f>'KW 20'!AM9</f>
        <v>0</v>
      </c>
      <c r="K138" s="152">
        <f>'KW 20'!AN9</f>
        <v>0</v>
      </c>
      <c r="L138" s="155">
        <f>'KW 20'!AO9</f>
        <v>0</v>
      </c>
      <c r="M138" s="158">
        <f>'KW 20'!AP9</f>
        <v>0</v>
      </c>
    </row>
    <row r="139" spans="4:13">
      <c r="D139" s="127" t="s">
        <v>253</v>
      </c>
      <c r="E139" s="134">
        <f>'KW 20'!AH10</f>
        <v>0</v>
      </c>
      <c r="F139" s="137">
        <f>'KW 20'!AI10</f>
        <v>0</v>
      </c>
      <c r="G139" s="140">
        <f>'KW 20'!AJ10</f>
        <v>0</v>
      </c>
      <c r="H139" s="143">
        <f>'KW 20'!AK10</f>
        <v>0</v>
      </c>
      <c r="I139" s="146">
        <f>'KW 20'!AL10</f>
        <v>0</v>
      </c>
      <c r="J139" s="149">
        <f>'KW 20'!AM10</f>
        <v>0</v>
      </c>
      <c r="K139" s="152">
        <f>'KW 20'!AN10</f>
        <v>0</v>
      </c>
      <c r="L139" s="155">
        <f>'KW 20'!AO10</f>
        <v>0</v>
      </c>
      <c r="M139" s="158">
        <f>'KW 20'!AP10</f>
        <v>0</v>
      </c>
    </row>
    <row r="140" spans="4:13">
      <c r="D140" s="127" t="s">
        <v>254</v>
      </c>
      <c r="E140" s="134">
        <f>'KW 20'!AH11</f>
        <v>0</v>
      </c>
      <c r="F140" s="137">
        <f>'KW 20'!AI11</f>
        <v>0</v>
      </c>
      <c r="G140" s="140">
        <f>'KW 20'!AJ11</f>
        <v>0</v>
      </c>
      <c r="H140" s="143">
        <f>'KW 20'!AK11</f>
        <v>0</v>
      </c>
      <c r="I140" s="146">
        <f>'KW 20'!AL11</f>
        <v>0</v>
      </c>
      <c r="J140" s="149">
        <f>'KW 20'!AM11</f>
        <v>0</v>
      </c>
      <c r="K140" s="152">
        <f>'KW 20'!AN11</f>
        <v>0</v>
      </c>
      <c r="L140" s="155">
        <f>'KW 20'!AO11</f>
        <v>0</v>
      </c>
      <c r="M140" s="158">
        <f>'KW 20'!AP11</f>
        <v>0</v>
      </c>
    </row>
    <row r="141" spans="4:13">
      <c r="D141" s="127" t="s">
        <v>255</v>
      </c>
      <c r="E141" s="134">
        <f>'KW 20'!AH5</f>
        <v>0</v>
      </c>
      <c r="F141" s="137">
        <f>'KW 20'!AI5</f>
        <v>0</v>
      </c>
      <c r="G141" s="140">
        <f>'KW 20'!AJ5</f>
        <v>0</v>
      </c>
      <c r="H141" s="143">
        <f>'KW 20'!AK5</f>
        <v>0</v>
      </c>
      <c r="I141" s="146">
        <f>'KW 20'!AL5</f>
        <v>0</v>
      </c>
      <c r="J141" s="149">
        <f>'KW 20'!AM5</f>
        <v>0</v>
      </c>
      <c r="K141" s="152">
        <f>'KW 20'!AN5</f>
        <v>0</v>
      </c>
      <c r="L141" s="155">
        <f>'KW 20'!AO5</f>
        <v>0</v>
      </c>
      <c r="M141" s="158">
        <f>'KW 20'!AP5</f>
        <v>0</v>
      </c>
    </row>
    <row r="142" spans="4:13">
      <c r="D142" s="127" t="s">
        <v>256</v>
      </c>
      <c r="E142" s="134">
        <f>'KW 20'!AH6</f>
        <v>0</v>
      </c>
      <c r="F142" s="137">
        <f>'KW 20'!AI6</f>
        <v>0</v>
      </c>
      <c r="G142" s="140">
        <f>'KW 20'!AJ6</f>
        <v>0</v>
      </c>
      <c r="H142" s="143">
        <f>'KW 20'!AK6</f>
        <v>0</v>
      </c>
      <c r="I142" s="146">
        <f>'KW 20'!AL6</f>
        <v>0</v>
      </c>
      <c r="J142" s="149">
        <f>'KW 20'!AM6</f>
        <v>0</v>
      </c>
      <c r="K142" s="152">
        <f>'KW 20'!AN6</f>
        <v>0</v>
      </c>
      <c r="L142" s="155">
        <f>'KW 20'!AO6</f>
        <v>0</v>
      </c>
      <c r="M142" s="158">
        <f>'KW 20'!AP6</f>
        <v>0</v>
      </c>
    </row>
    <row r="143" spans="4:13">
      <c r="D143" s="127" t="s">
        <v>257</v>
      </c>
      <c r="E143" s="134">
        <f>'KW 21'!AH7</f>
        <v>0</v>
      </c>
      <c r="F143" s="137">
        <f>'KW 21'!AI7</f>
        <v>0</v>
      </c>
      <c r="G143" s="140">
        <f>'KW 21'!AJ7</f>
        <v>0</v>
      </c>
      <c r="H143" s="143">
        <f>'KW 21'!AK7</f>
        <v>0</v>
      </c>
      <c r="I143" s="146">
        <f>'KW 21'!AL7</f>
        <v>0</v>
      </c>
      <c r="J143" s="149">
        <f>'KW 21'!AM7</f>
        <v>0</v>
      </c>
      <c r="K143" s="152">
        <f>'KW 21'!AN7</f>
        <v>0</v>
      </c>
      <c r="L143" s="155">
        <f>'KW 21'!AO7</f>
        <v>0</v>
      </c>
      <c r="M143" s="158">
        <f>'KW 21'!AP7</f>
        <v>0</v>
      </c>
    </row>
    <row r="144" spans="4:13">
      <c r="D144" s="127" t="s">
        <v>258</v>
      </c>
      <c r="E144" s="134">
        <f>'KW 21'!AH8</f>
        <v>0</v>
      </c>
      <c r="F144" s="137">
        <f>'KW 21'!AI8</f>
        <v>0</v>
      </c>
      <c r="G144" s="140">
        <f>'KW 21'!AJ8</f>
        <v>0</v>
      </c>
      <c r="H144" s="143">
        <f>'KW 21'!AK8</f>
        <v>0</v>
      </c>
      <c r="I144" s="146">
        <f>'KW 21'!AL8</f>
        <v>0</v>
      </c>
      <c r="J144" s="149">
        <f>'KW 21'!AM8</f>
        <v>0</v>
      </c>
      <c r="K144" s="152">
        <f>'KW 21'!AN8</f>
        <v>0</v>
      </c>
      <c r="L144" s="155">
        <f>'KW 21'!AO8</f>
        <v>0</v>
      </c>
      <c r="M144" s="158">
        <f>'KW 21'!AP8</f>
        <v>0</v>
      </c>
    </row>
    <row r="145" spans="4:13">
      <c r="D145" s="127" t="s">
        <v>259</v>
      </c>
      <c r="E145" s="134">
        <f>'KW 21'!AH9</f>
        <v>0</v>
      </c>
      <c r="F145" s="137">
        <f>'KW 21'!AI9</f>
        <v>0</v>
      </c>
      <c r="G145" s="140">
        <f>'KW 21'!AJ9</f>
        <v>0</v>
      </c>
      <c r="H145" s="143">
        <f>'KW 21'!AK9</f>
        <v>0</v>
      </c>
      <c r="I145" s="146">
        <f>'KW 21'!AL9</f>
        <v>0</v>
      </c>
      <c r="J145" s="149">
        <f>'KW 21'!AM9</f>
        <v>0</v>
      </c>
      <c r="K145" s="152">
        <f>'KW 21'!AN9</f>
        <v>0</v>
      </c>
      <c r="L145" s="155">
        <f>'KW 21'!AO9</f>
        <v>0</v>
      </c>
      <c r="M145" s="158">
        <f>'KW 21'!AP9</f>
        <v>0</v>
      </c>
    </row>
    <row r="146" spans="4:13">
      <c r="D146" s="127" t="s">
        <v>260</v>
      </c>
      <c r="E146" s="134">
        <f>'KW 21'!AH10</f>
        <v>0</v>
      </c>
      <c r="F146" s="137">
        <f>'KW 21'!AI10</f>
        <v>0</v>
      </c>
      <c r="G146" s="140">
        <f>'KW 21'!AJ10</f>
        <v>0</v>
      </c>
      <c r="H146" s="143">
        <f>'KW 21'!AK10</f>
        <v>0</v>
      </c>
      <c r="I146" s="146">
        <f>'KW 21'!AL10</f>
        <v>0</v>
      </c>
      <c r="J146" s="149">
        <f>'KW 21'!AM10</f>
        <v>0</v>
      </c>
      <c r="K146" s="152">
        <f>'KW 21'!AN10</f>
        <v>0</v>
      </c>
      <c r="L146" s="155">
        <f>'KW 21'!AO10</f>
        <v>0</v>
      </c>
      <c r="M146" s="158">
        <f>'KW 21'!AP10</f>
        <v>0</v>
      </c>
    </row>
    <row r="147" spans="4:13">
      <c r="D147" s="127" t="s">
        <v>261</v>
      </c>
      <c r="E147" s="134">
        <f>'KW 21'!AH11</f>
        <v>0</v>
      </c>
      <c r="F147" s="137">
        <f>'KW 21'!AI11</f>
        <v>0</v>
      </c>
      <c r="G147" s="140">
        <f>'KW 21'!AJ11</f>
        <v>0</v>
      </c>
      <c r="H147" s="143">
        <f>'KW 21'!AK11</f>
        <v>0</v>
      </c>
      <c r="I147" s="146">
        <f>'KW 21'!AL11</f>
        <v>0</v>
      </c>
      <c r="J147" s="149">
        <f>'KW 21'!AM11</f>
        <v>0</v>
      </c>
      <c r="K147" s="152">
        <f>'KW 21'!AN11</f>
        <v>0</v>
      </c>
      <c r="L147" s="155">
        <f>'KW 21'!AO11</f>
        <v>0</v>
      </c>
      <c r="M147" s="158">
        <f>'KW 21'!AP11</f>
        <v>0</v>
      </c>
    </row>
    <row r="148" spans="4:13">
      <c r="D148" s="127" t="s">
        <v>262</v>
      </c>
      <c r="E148" s="134">
        <f>'KW 21'!AH5</f>
        <v>0</v>
      </c>
      <c r="F148" s="137">
        <f>'KW 21'!AI5</f>
        <v>0</v>
      </c>
      <c r="G148" s="140">
        <f>'KW 21'!AJ5</f>
        <v>0</v>
      </c>
      <c r="H148" s="143">
        <f>'KW 21'!AK5</f>
        <v>0</v>
      </c>
      <c r="I148" s="146">
        <f>'KW 21'!AL5</f>
        <v>0</v>
      </c>
      <c r="J148" s="149">
        <f>'KW 21'!AM5</f>
        <v>0</v>
      </c>
      <c r="K148" s="152">
        <f>'KW 21'!AN5</f>
        <v>0</v>
      </c>
      <c r="L148" s="155">
        <f>'KW 21'!AO5</f>
        <v>0</v>
      </c>
      <c r="M148" s="158">
        <f>'KW 21'!AP5</f>
        <v>0</v>
      </c>
    </row>
    <row r="149" spans="4:13">
      <c r="D149" s="127" t="s">
        <v>263</v>
      </c>
      <c r="E149" s="134">
        <f>'KW 21'!AH6</f>
        <v>0</v>
      </c>
      <c r="F149" s="137">
        <f>'KW 21'!AI6</f>
        <v>0</v>
      </c>
      <c r="G149" s="140">
        <f>'KW 21'!AJ6</f>
        <v>0</v>
      </c>
      <c r="H149" s="143">
        <f>'KW 21'!AK6</f>
        <v>0</v>
      </c>
      <c r="I149" s="146">
        <f>'KW 21'!AL6</f>
        <v>0</v>
      </c>
      <c r="J149" s="149">
        <f>'KW 21'!AM6</f>
        <v>0</v>
      </c>
      <c r="K149" s="152">
        <f>'KW 21'!AN6</f>
        <v>0</v>
      </c>
      <c r="L149" s="155">
        <f>'KW 21'!AO6</f>
        <v>0</v>
      </c>
      <c r="M149" s="158">
        <f>'KW 21'!AP6</f>
        <v>0</v>
      </c>
    </row>
    <row r="150" spans="4:13">
      <c r="D150" s="127" t="s">
        <v>264</v>
      </c>
      <c r="E150" s="134">
        <f>'KW 22'!AH7</f>
        <v>0</v>
      </c>
      <c r="F150" s="137">
        <f>'KW 22'!AI7</f>
        <v>0</v>
      </c>
      <c r="G150" s="140">
        <f>'KW 22'!AJ7</f>
        <v>0</v>
      </c>
      <c r="H150" s="143">
        <f>'KW 22'!AK7</f>
        <v>0</v>
      </c>
      <c r="I150" s="146">
        <f>'KW 22'!AL7</f>
        <v>0</v>
      </c>
      <c r="J150" s="149">
        <f>'KW 22'!AM7</f>
        <v>0</v>
      </c>
      <c r="K150" s="152">
        <f>'KW 22'!AN7</f>
        <v>0</v>
      </c>
      <c r="L150" s="155">
        <f>'KW 22'!AO7</f>
        <v>0</v>
      </c>
      <c r="M150" s="158">
        <f>'KW 22'!AP7</f>
        <v>0</v>
      </c>
    </row>
    <row r="151" spans="4:13">
      <c r="D151" s="127" t="s">
        <v>265</v>
      </c>
      <c r="E151" s="134">
        <f>'KW 22'!AH8</f>
        <v>0</v>
      </c>
      <c r="F151" s="137">
        <f>'KW 22'!AI8</f>
        <v>0</v>
      </c>
      <c r="G151" s="140">
        <f>'KW 22'!AJ8</f>
        <v>0</v>
      </c>
      <c r="H151" s="143">
        <f>'KW 22'!AK8</f>
        <v>0</v>
      </c>
      <c r="I151" s="146">
        <f>'KW 22'!AL8</f>
        <v>0</v>
      </c>
      <c r="J151" s="149">
        <f>'KW 22'!AM8</f>
        <v>0</v>
      </c>
      <c r="K151" s="152">
        <f>'KW 22'!AN8</f>
        <v>0</v>
      </c>
      <c r="L151" s="155">
        <f>'KW 22'!AO8</f>
        <v>0</v>
      </c>
      <c r="M151" s="158">
        <f>'KW 22'!AP8</f>
        <v>0</v>
      </c>
    </row>
    <row r="152" spans="4:13">
      <c r="D152" s="127" t="s">
        <v>266</v>
      </c>
      <c r="E152" s="134">
        <f>'KW 22'!AH9</f>
        <v>0</v>
      </c>
      <c r="F152" s="137">
        <f>'KW 22'!AI9</f>
        <v>0</v>
      </c>
      <c r="G152" s="140">
        <f>'KW 22'!AJ9</f>
        <v>0</v>
      </c>
      <c r="H152" s="143">
        <f>'KW 22'!AK9</f>
        <v>0</v>
      </c>
      <c r="I152" s="146">
        <f>'KW 22'!AL9</f>
        <v>0</v>
      </c>
      <c r="J152" s="149">
        <f>'KW 22'!AM9</f>
        <v>0</v>
      </c>
      <c r="K152" s="152">
        <f>'KW 22'!AN9</f>
        <v>0</v>
      </c>
      <c r="L152" s="155">
        <f>'KW 22'!AO9</f>
        <v>0</v>
      </c>
      <c r="M152" s="158">
        <f>'KW 22'!AP9</f>
        <v>0</v>
      </c>
    </row>
    <row r="153" spans="4:13">
      <c r="D153" s="127" t="s">
        <v>267</v>
      </c>
      <c r="E153" s="134">
        <f>'KW 22'!AH10</f>
        <v>0</v>
      </c>
      <c r="F153" s="137">
        <f>'KW 22'!AI10</f>
        <v>0</v>
      </c>
      <c r="G153" s="140">
        <f>'KW 22'!AJ10</f>
        <v>0</v>
      </c>
      <c r="H153" s="143">
        <f>'KW 22'!AK10</f>
        <v>0</v>
      </c>
      <c r="I153" s="146">
        <f>'KW 22'!AL10</f>
        <v>0</v>
      </c>
      <c r="J153" s="149">
        <f>'KW 22'!AM10</f>
        <v>0</v>
      </c>
      <c r="K153" s="152">
        <f>'KW 22'!AN10</f>
        <v>0</v>
      </c>
      <c r="L153" s="155">
        <f>'KW 22'!AO10</f>
        <v>0</v>
      </c>
      <c r="M153" s="158">
        <f>'KW 22'!AP10</f>
        <v>0</v>
      </c>
    </row>
    <row r="154" spans="4:13">
      <c r="D154" s="130" t="s">
        <v>268</v>
      </c>
      <c r="E154" s="135">
        <f>'KW 22'!AH11</f>
        <v>0</v>
      </c>
      <c r="F154" s="138">
        <f>'KW 22'!AI11</f>
        <v>0</v>
      </c>
      <c r="G154" s="141">
        <f>'KW 22'!AJ11</f>
        <v>0</v>
      </c>
      <c r="H154" s="144">
        <f>'KW 22'!AK11</f>
        <v>0</v>
      </c>
      <c r="I154" s="147">
        <f>'KW 22'!AL11</f>
        <v>0</v>
      </c>
      <c r="J154" s="150">
        <f>'KW 22'!AM11</f>
        <v>0</v>
      </c>
      <c r="K154" s="153">
        <f>'KW 22'!AN11</f>
        <v>0</v>
      </c>
      <c r="L154" s="156">
        <f>'KW 22'!AO11</f>
        <v>0</v>
      </c>
      <c r="M154" s="159">
        <f>'KW 22'!AP11</f>
        <v>0</v>
      </c>
    </row>
    <row r="155" spans="4:13">
      <c r="D155" s="130" t="s">
        <v>269</v>
      </c>
      <c r="E155" s="135">
        <f>'KW 22'!AH5</f>
        <v>0</v>
      </c>
      <c r="F155" s="138">
        <f>'KW 22'!AI5</f>
        <v>0</v>
      </c>
      <c r="G155" s="141">
        <f>'KW 22'!AJ5</f>
        <v>0</v>
      </c>
      <c r="H155" s="144">
        <f>'KW 22'!AK5</f>
        <v>0</v>
      </c>
      <c r="I155" s="147">
        <f>'KW 22'!AL5</f>
        <v>0</v>
      </c>
      <c r="J155" s="150">
        <f>'KW 22'!AM5</f>
        <v>0</v>
      </c>
      <c r="K155" s="153">
        <f>'KW 22'!AN5</f>
        <v>0</v>
      </c>
      <c r="L155" s="156">
        <f>'KW 22'!AO5</f>
        <v>0</v>
      </c>
      <c r="M155" s="159">
        <f>'KW 22'!AP5</f>
        <v>0</v>
      </c>
    </row>
    <row r="156" spans="4:13">
      <c r="D156" s="130" t="s">
        <v>270</v>
      </c>
      <c r="E156" s="135">
        <f>'KW 22'!AH6</f>
        <v>0</v>
      </c>
      <c r="F156" s="138">
        <f>'KW 22'!AI6</f>
        <v>0</v>
      </c>
      <c r="G156" s="141">
        <f>'KW 22'!AJ6</f>
        <v>0</v>
      </c>
      <c r="H156" s="144">
        <f>'KW 22'!AK6</f>
        <v>0</v>
      </c>
      <c r="I156" s="147">
        <f>'KW 22'!AL6</f>
        <v>0</v>
      </c>
      <c r="J156" s="150">
        <f>'KW 22'!AM6</f>
        <v>0</v>
      </c>
      <c r="K156" s="153">
        <f>'KW 22'!AN6</f>
        <v>0</v>
      </c>
      <c r="L156" s="156">
        <f>'KW 22'!AO6</f>
        <v>0</v>
      </c>
      <c r="M156" s="159">
        <f>'KW 22'!AP6</f>
        <v>0</v>
      </c>
    </row>
    <row r="157" spans="4:13">
      <c r="D157" s="130" t="s">
        <v>271</v>
      </c>
      <c r="E157" s="135">
        <f>'KW 23'!AH7</f>
        <v>0</v>
      </c>
      <c r="F157" s="138">
        <f>'KW 23'!AI7</f>
        <v>0</v>
      </c>
      <c r="G157" s="141">
        <f>'KW 23'!AJ7</f>
        <v>0</v>
      </c>
      <c r="H157" s="144">
        <f>'KW 23'!AK7</f>
        <v>0</v>
      </c>
      <c r="I157" s="147">
        <f>'KW 23'!AL7</f>
        <v>0</v>
      </c>
      <c r="J157" s="150">
        <f>'KW 23'!AM7</f>
        <v>0</v>
      </c>
      <c r="K157" s="153">
        <f>'KW 23'!AN7</f>
        <v>0</v>
      </c>
      <c r="L157" s="156">
        <f>'KW 23'!AO7</f>
        <v>0</v>
      </c>
      <c r="M157" s="159">
        <f>'KW 23'!AP7</f>
        <v>0</v>
      </c>
    </row>
    <row r="158" spans="4:13">
      <c r="D158" s="130" t="s">
        <v>272</v>
      </c>
      <c r="E158" s="135">
        <f>'KW 23'!AH8</f>
        <v>0</v>
      </c>
      <c r="F158" s="138">
        <f>'KW 23'!AI8</f>
        <v>0</v>
      </c>
      <c r="G158" s="141">
        <f>'KW 23'!AJ8</f>
        <v>0</v>
      </c>
      <c r="H158" s="144">
        <f>'KW 23'!AK8</f>
        <v>0</v>
      </c>
      <c r="I158" s="147">
        <f>'KW 23'!AL8</f>
        <v>0</v>
      </c>
      <c r="J158" s="150">
        <f>'KW 23'!AM8</f>
        <v>0</v>
      </c>
      <c r="K158" s="153">
        <f>'KW 23'!AN8</f>
        <v>0</v>
      </c>
      <c r="L158" s="156">
        <f>'KW 23'!AO8</f>
        <v>0</v>
      </c>
      <c r="M158" s="159">
        <f>'KW 23'!AP8</f>
        <v>0</v>
      </c>
    </row>
    <row r="159" spans="4:13">
      <c r="D159" s="130" t="s">
        <v>273</v>
      </c>
      <c r="E159" s="135">
        <f>'KW 23'!AH9</f>
        <v>0</v>
      </c>
      <c r="F159" s="138">
        <f>'KW 23'!AI9</f>
        <v>0</v>
      </c>
      <c r="G159" s="141">
        <f>'KW 23'!AJ9</f>
        <v>0</v>
      </c>
      <c r="H159" s="144">
        <f>'KW 23'!AK9</f>
        <v>0</v>
      </c>
      <c r="I159" s="147">
        <f>'KW 23'!AL9</f>
        <v>0</v>
      </c>
      <c r="J159" s="150">
        <f>'KW 23'!AM9</f>
        <v>0</v>
      </c>
      <c r="K159" s="153">
        <f>'KW 23'!AN9</f>
        <v>0</v>
      </c>
      <c r="L159" s="156">
        <f>'KW 23'!AO9</f>
        <v>0</v>
      </c>
      <c r="M159" s="159">
        <f>'KW 23'!AP9</f>
        <v>0</v>
      </c>
    </row>
    <row r="160" spans="4:13">
      <c r="D160" s="130" t="s">
        <v>274</v>
      </c>
      <c r="E160" s="135">
        <f>'KW 23'!AH10</f>
        <v>0</v>
      </c>
      <c r="F160" s="138">
        <f>'KW 23'!AI10</f>
        <v>0</v>
      </c>
      <c r="G160" s="141">
        <f>'KW 23'!AJ10</f>
        <v>0</v>
      </c>
      <c r="H160" s="144">
        <f>'KW 23'!AK10</f>
        <v>0</v>
      </c>
      <c r="I160" s="147">
        <f>'KW 23'!AL10</f>
        <v>0</v>
      </c>
      <c r="J160" s="150">
        <f>'KW 23'!AM10</f>
        <v>0</v>
      </c>
      <c r="K160" s="153">
        <f>'KW 23'!AN10</f>
        <v>0</v>
      </c>
      <c r="L160" s="156">
        <f>'KW 23'!AO10</f>
        <v>0</v>
      </c>
      <c r="M160" s="159">
        <f>'KW 23'!AP10</f>
        <v>0</v>
      </c>
    </row>
    <row r="161" spans="4:13">
      <c r="D161" s="130" t="s">
        <v>275</v>
      </c>
      <c r="E161" s="135">
        <f>'KW 23'!AH11</f>
        <v>0</v>
      </c>
      <c r="F161" s="138">
        <f>'KW 23'!AI11</f>
        <v>0</v>
      </c>
      <c r="G161" s="141">
        <f>'KW 23'!AJ11</f>
        <v>0</v>
      </c>
      <c r="H161" s="144">
        <f>'KW 23'!AK11</f>
        <v>0</v>
      </c>
      <c r="I161" s="147">
        <f>'KW 23'!AL11</f>
        <v>0</v>
      </c>
      <c r="J161" s="150">
        <f>'KW 23'!AM11</f>
        <v>0</v>
      </c>
      <c r="K161" s="153">
        <f>'KW 23'!AN11</f>
        <v>0</v>
      </c>
      <c r="L161" s="156">
        <f>'KW 23'!AO11</f>
        <v>0</v>
      </c>
      <c r="M161" s="159">
        <f>'KW 23'!AP11</f>
        <v>0</v>
      </c>
    </row>
    <row r="162" spans="4:13">
      <c r="D162" s="130" t="s">
        <v>276</v>
      </c>
      <c r="E162" s="135">
        <f>'KW 23'!AH5</f>
        <v>0</v>
      </c>
      <c r="F162" s="138">
        <f>'KW 23'!AI5</f>
        <v>0</v>
      </c>
      <c r="G162" s="141">
        <f>'KW 23'!AJ5</f>
        <v>0</v>
      </c>
      <c r="H162" s="144">
        <f>'KW 23'!AK5</f>
        <v>0</v>
      </c>
      <c r="I162" s="147">
        <f>'KW 23'!AL5</f>
        <v>0</v>
      </c>
      <c r="J162" s="150">
        <f>'KW 23'!AM5</f>
        <v>0</v>
      </c>
      <c r="K162" s="153">
        <f>'KW 23'!AN5</f>
        <v>0</v>
      </c>
      <c r="L162" s="156">
        <f>'KW 23'!AO5</f>
        <v>0</v>
      </c>
      <c r="M162" s="159">
        <f>'KW 23'!AP5</f>
        <v>0</v>
      </c>
    </row>
    <row r="163" spans="4:13">
      <c r="D163" s="130" t="s">
        <v>277</v>
      </c>
      <c r="E163" s="135">
        <f>'KW 23'!AH6</f>
        <v>0</v>
      </c>
      <c r="F163" s="138">
        <f>'KW 23'!AI6</f>
        <v>0</v>
      </c>
      <c r="G163" s="141">
        <f>'KW 23'!AJ6</f>
        <v>0</v>
      </c>
      <c r="H163" s="144">
        <f>'KW 23'!AK6</f>
        <v>0</v>
      </c>
      <c r="I163" s="147">
        <f>'KW 23'!AL6</f>
        <v>0</v>
      </c>
      <c r="J163" s="150">
        <f>'KW 23'!AM6</f>
        <v>0</v>
      </c>
      <c r="K163" s="153">
        <f>'KW 23'!AN6</f>
        <v>0</v>
      </c>
      <c r="L163" s="156">
        <f>'KW 23'!AO6</f>
        <v>0</v>
      </c>
      <c r="M163" s="159">
        <f>'KW 23'!AP6</f>
        <v>0</v>
      </c>
    </row>
    <row r="164" spans="4:13">
      <c r="D164" s="130" t="s">
        <v>278</v>
      </c>
      <c r="E164" s="135">
        <f>'KW 24'!AH7</f>
        <v>0</v>
      </c>
      <c r="F164" s="138">
        <f>'KW 24'!AI7</f>
        <v>0</v>
      </c>
      <c r="G164" s="141">
        <f>'KW 24'!AJ7</f>
        <v>0</v>
      </c>
      <c r="H164" s="144">
        <f>'KW 24'!AK7</f>
        <v>0</v>
      </c>
      <c r="I164" s="147">
        <f>'KW 24'!AL7</f>
        <v>0</v>
      </c>
      <c r="J164" s="150">
        <f>'KW 24'!AM7</f>
        <v>0</v>
      </c>
      <c r="K164" s="153">
        <f>'KW 24'!AN7</f>
        <v>0</v>
      </c>
      <c r="L164" s="156">
        <f>'KW 24'!AO7</f>
        <v>0</v>
      </c>
      <c r="M164" s="159">
        <f>'KW 24'!AP7</f>
        <v>0</v>
      </c>
    </row>
    <row r="165" spans="4:13">
      <c r="D165" s="130" t="s">
        <v>279</v>
      </c>
      <c r="E165" s="135">
        <f>'KW 24'!AH8</f>
        <v>0</v>
      </c>
      <c r="F165" s="138">
        <f>'KW 24'!AI8</f>
        <v>0</v>
      </c>
      <c r="G165" s="141">
        <f>'KW 24'!AJ8</f>
        <v>0</v>
      </c>
      <c r="H165" s="144">
        <f>'KW 24'!AK8</f>
        <v>0</v>
      </c>
      <c r="I165" s="147">
        <f>'KW 24'!AL8</f>
        <v>0</v>
      </c>
      <c r="J165" s="150">
        <f>'KW 24'!AM8</f>
        <v>0</v>
      </c>
      <c r="K165" s="153">
        <f>'KW 24'!AN8</f>
        <v>0</v>
      </c>
      <c r="L165" s="156">
        <f>'KW 24'!AO8</f>
        <v>0</v>
      </c>
      <c r="M165" s="159">
        <f>'KW 24'!AP8</f>
        <v>0</v>
      </c>
    </row>
    <row r="166" spans="4:13">
      <c r="D166" s="130" t="s">
        <v>280</v>
      </c>
      <c r="E166" s="135">
        <f>'KW 24'!AH9</f>
        <v>0</v>
      </c>
      <c r="F166" s="138">
        <f>'KW 24'!AI9</f>
        <v>0</v>
      </c>
      <c r="G166" s="141">
        <f>'KW 24'!AJ9</f>
        <v>0</v>
      </c>
      <c r="H166" s="144">
        <f>'KW 24'!AK9</f>
        <v>0</v>
      </c>
      <c r="I166" s="147">
        <f>'KW 24'!AL9</f>
        <v>0</v>
      </c>
      <c r="J166" s="150">
        <f>'KW 24'!AM9</f>
        <v>0</v>
      </c>
      <c r="K166" s="153">
        <f>'KW 24'!AN9</f>
        <v>0</v>
      </c>
      <c r="L166" s="156">
        <f>'KW 24'!AO9</f>
        <v>0</v>
      </c>
      <c r="M166" s="159">
        <f>'KW 24'!AP9</f>
        <v>0</v>
      </c>
    </row>
    <row r="167" spans="4:13">
      <c r="D167" s="130" t="s">
        <v>281</v>
      </c>
      <c r="E167" s="135">
        <f>'KW 24'!AH10</f>
        <v>0</v>
      </c>
      <c r="F167" s="138">
        <f>'KW 24'!AI10</f>
        <v>0</v>
      </c>
      <c r="G167" s="141">
        <f>'KW 24'!AJ10</f>
        <v>0</v>
      </c>
      <c r="H167" s="144">
        <f>'KW 24'!AK10</f>
        <v>0</v>
      </c>
      <c r="I167" s="147">
        <f>'KW 24'!AL10</f>
        <v>0</v>
      </c>
      <c r="J167" s="150">
        <f>'KW 24'!AM10</f>
        <v>0</v>
      </c>
      <c r="K167" s="153">
        <f>'KW 24'!AN10</f>
        <v>0</v>
      </c>
      <c r="L167" s="156">
        <f>'KW 24'!AO10</f>
        <v>0</v>
      </c>
      <c r="M167" s="159">
        <f>'KW 24'!AP10</f>
        <v>0</v>
      </c>
    </row>
    <row r="168" spans="4:13">
      <c r="D168" s="130" t="s">
        <v>282</v>
      </c>
      <c r="E168" s="135">
        <f>'KW 24'!AH11</f>
        <v>0</v>
      </c>
      <c r="F168" s="138">
        <f>'KW 24'!AI11</f>
        <v>0</v>
      </c>
      <c r="G168" s="141">
        <f>'KW 24'!AJ11</f>
        <v>0</v>
      </c>
      <c r="H168" s="144">
        <f>'KW 24'!AK11</f>
        <v>0</v>
      </c>
      <c r="I168" s="147">
        <f>'KW 24'!AL11</f>
        <v>0</v>
      </c>
      <c r="J168" s="150">
        <f>'KW 24'!AM11</f>
        <v>0</v>
      </c>
      <c r="K168" s="153">
        <f>'KW 24'!AN11</f>
        <v>0</v>
      </c>
      <c r="L168" s="156">
        <f>'KW 24'!AO11</f>
        <v>0</v>
      </c>
      <c r="M168" s="159">
        <f>'KW 24'!AP11</f>
        <v>0</v>
      </c>
    </row>
    <row r="169" spans="4:13">
      <c r="D169" s="130" t="s">
        <v>283</v>
      </c>
      <c r="E169" s="135">
        <f>'KW 24'!AH5</f>
        <v>0</v>
      </c>
      <c r="F169" s="138">
        <f>'KW 24'!AI5</f>
        <v>0</v>
      </c>
      <c r="G169" s="141">
        <f>'KW 24'!AJ5</f>
        <v>0</v>
      </c>
      <c r="H169" s="144">
        <f>'KW 24'!AK5</f>
        <v>0</v>
      </c>
      <c r="I169" s="147">
        <f>'KW 24'!AL5</f>
        <v>0</v>
      </c>
      <c r="J169" s="150">
        <f>'KW 24'!AM5</f>
        <v>0</v>
      </c>
      <c r="K169" s="153">
        <f>'KW 24'!AN5</f>
        <v>0</v>
      </c>
      <c r="L169" s="156">
        <f>'KW 24'!AO5</f>
        <v>0</v>
      </c>
      <c r="M169" s="159">
        <f>'KW 24'!AP5</f>
        <v>0</v>
      </c>
    </row>
    <row r="170" spans="4:13">
      <c r="D170" s="130" t="s">
        <v>284</v>
      </c>
      <c r="E170" s="135">
        <f>'KW 24'!AH6</f>
        <v>0</v>
      </c>
      <c r="F170" s="138">
        <f>'KW 24'!AI6</f>
        <v>0</v>
      </c>
      <c r="G170" s="141">
        <f>'KW 24'!AJ6</f>
        <v>0</v>
      </c>
      <c r="H170" s="144">
        <f>'KW 24'!AK6</f>
        <v>0</v>
      </c>
      <c r="I170" s="147">
        <f>'KW 24'!AL6</f>
        <v>0</v>
      </c>
      <c r="J170" s="150">
        <f>'KW 24'!AM6</f>
        <v>0</v>
      </c>
      <c r="K170" s="153">
        <f>'KW 24'!AN6</f>
        <v>0</v>
      </c>
      <c r="L170" s="156">
        <f>'KW 24'!AO6</f>
        <v>0</v>
      </c>
      <c r="M170" s="159">
        <f>'KW 24'!AP6</f>
        <v>0</v>
      </c>
    </row>
    <row r="171" spans="4:13">
      <c r="D171" s="130" t="s">
        <v>285</v>
      </c>
      <c r="E171" s="135">
        <f>'KW 25'!AH7</f>
        <v>0</v>
      </c>
      <c r="F171" s="138">
        <f>'KW 25'!AI7</f>
        <v>0</v>
      </c>
      <c r="G171" s="141">
        <f>'KW 25'!AJ7</f>
        <v>0</v>
      </c>
      <c r="H171" s="144">
        <f>'KW 25'!AK7</f>
        <v>0</v>
      </c>
      <c r="I171" s="147">
        <f>'KW 25'!AL7</f>
        <v>0</v>
      </c>
      <c r="J171" s="150">
        <f>'KW 25'!AM7</f>
        <v>0</v>
      </c>
      <c r="K171" s="153">
        <f>'KW 25'!AN7</f>
        <v>0</v>
      </c>
      <c r="L171" s="156">
        <f>'KW 25'!AO7</f>
        <v>0</v>
      </c>
      <c r="M171" s="159">
        <f>'KW 25'!AP7</f>
        <v>0</v>
      </c>
    </row>
    <row r="172" spans="4:13">
      <c r="D172" s="130" t="s">
        <v>286</v>
      </c>
      <c r="E172" s="135">
        <f>'KW 25'!AH8</f>
        <v>0</v>
      </c>
      <c r="F172" s="138">
        <f>'KW 25'!AI8</f>
        <v>0</v>
      </c>
      <c r="G172" s="141">
        <f>'KW 25'!AJ8</f>
        <v>0</v>
      </c>
      <c r="H172" s="144">
        <f>'KW 25'!AK8</f>
        <v>0</v>
      </c>
      <c r="I172" s="147">
        <f>'KW 25'!AL8</f>
        <v>0</v>
      </c>
      <c r="J172" s="150">
        <f>'KW 25'!AM8</f>
        <v>0</v>
      </c>
      <c r="K172" s="153">
        <f>'KW 25'!AN8</f>
        <v>0</v>
      </c>
      <c r="L172" s="156">
        <f>'KW 25'!AO8</f>
        <v>0</v>
      </c>
      <c r="M172" s="159">
        <f>'KW 25'!AP8</f>
        <v>0</v>
      </c>
    </row>
    <row r="173" spans="4:13">
      <c r="D173" s="130" t="s">
        <v>287</v>
      </c>
      <c r="E173" s="135">
        <f>'KW 25'!AH9</f>
        <v>0</v>
      </c>
      <c r="F173" s="138">
        <f>'KW 25'!AI9</f>
        <v>0</v>
      </c>
      <c r="G173" s="141">
        <f>'KW 25'!AJ9</f>
        <v>0</v>
      </c>
      <c r="H173" s="144">
        <f>'KW 25'!AK9</f>
        <v>0</v>
      </c>
      <c r="I173" s="147">
        <f>'KW 25'!AL9</f>
        <v>0</v>
      </c>
      <c r="J173" s="150">
        <f>'KW 25'!AM9</f>
        <v>0</v>
      </c>
      <c r="K173" s="153">
        <f>'KW 25'!AN9</f>
        <v>0</v>
      </c>
      <c r="L173" s="156">
        <f>'KW 25'!AO9</f>
        <v>0</v>
      </c>
      <c r="M173" s="159">
        <f>'KW 25'!AP9</f>
        <v>0</v>
      </c>
    </row>
    <row r="174" spans="4:13">
      <c r="D174" s="130" t="s">
        <v>288</v>
      </c>
      <c r="E174" s="135">
        <f>'KW 25'!AH10</f>
        <v>0</v>
      </c>
      <c r="F174" s="138">
        <f>'KW 25'!AI10</f>
        <v>0</v>
      </c>
      <c r="G174" s="141">
        <f>'KW 25'!AJ10</f>
        <v>0</v>
      </c>
      <c r="H174" s="144">
        <f>'KW 25'!AK10</f>
        <v>0</v>
      </c>
      <c r="I174" s="147">
        <f>'KW 25'!AL10</f>
        <v>0</v>
      </c>
      <c r="J174" s="150">
        <f>'KW 25'!AM10</f>
        <v>0</v>
      </c>
      <c r="K174" s="153">
        <f>'KW 25'!AN10</f>
        <v>0</v>
      </c>
      <c r="L174" s="156">
        <f>'KW 25'!AO10</f>
        <v>0</v>
      </c>
      <c r="M174" s="159">
        <f>'KW 25'!AP10</f>
        <v>0</v>
      </c>
    </row>
    <row r="175" spans="4:13">
      <c r="D175" s="130" t="s">
        <v>289</v>
      </c>
      <c r="E175" s="135">
        <f>'KW 25'!AH11</f>
        <v>0</v>
      </c>
      <c r="F175" s="138">
        <f>'KW 25'!AI11</f>
        <v>0</v>
      </c>
      <c r="G175" s="141">
        <f>'KW 25'!AJ11</f>
        <v>0</v>
      </c>
      <c r="H175" s="144">
        <f>'KW 25'!AK11</f>
        <v>0</v>
      </c>
      <c r="I175" s="147">
        <f>'KW 25'!AL11</f>
        <v>0</v>
      </c>
      <c r="J175" s="150">
        <f>'KW 25'!AM11</f>
        <v>0</v>
      </c>
      <c r="K175" s="153">
        <f>'KW 25'!AN11</f>
        <v>0</v>
      </c>
      <c r="L175" s="156">
        <f>'KW 25'!AO11</f>
        <v>0</v>
      </c>
      <c r="M175" s="159">
        <f>'KW 25'!AP11</f>
        <v>0</v>
      </c>
    </row>
    <row r="176" spans="4:13">
      <c r="D176" s="130" t="s">
        <v>290</v>
      </c>
      <c r="E176" s="135">
        <f>'KW 25'!AH5</f>
        <v>0</v>
      </c>
      <c r="F176" s="138">
        <f>'KW 25'!AI5</f>
        <v>0</v>
      </c>
      <c r="G176" s="141">
        <f>'KW 25'!AJ5</f>
        <v>0</v>
      </c>
      <c r="H176" s="144">
        <f>'KW 25'!AK5</f>
        <v>0</v>
      </c>
      <c r="I176" s="147">
        <f>'KW 25'!AL5</f>
        <v>0</v>
      </c>
      <c r="J176" s="150">
        <f>'KW 25'!AM5</f>
        <v>0</v>
      </c>
      <c r="K176" s="153">
        <f>'KW 25'!AN5</f>
        <v>0</v>
      </c>
      <c r="L176" s="156">
        <f>'KW 25'!AO5</f>
        <v>0</v>
      </c>
      <c r="M176" s="159">
        <f>'KW 25'!AP5</f>
        <v>0</v>
      </c>
    </row>
    <row r="177" spans="4:13">
      <c r="D177" s="130" t="s">
        <v>291</v>
      </c>
      <c r="E177" s="135">
        <f>'KW 25'!AH6</f>
        <v>0</v>
      </c>
      <c r="F177" s="138">
        <f>'KW 25'!AI6</f>
        <v>0</v>
      </c>
      <c r="G177" s="141">
        <f>'KW 25'!AJ6</f>
        <v>0</v>
      </c>
      <c r="H177" s="144">
        <f>'KW 25'!AK6</f>
        <v>0</v>
      </c>
      <c r="I177" s="147">
        <f>'KW 25'!AL6</f>
        <v>0</v>
      </c>
      <c r="J177" s="150">
        <f>'KW 25'!AM6</f>
        <v>0</v>
      </c>
      <c r="K177" s="153">
        <f>'KW 25'!AN6</f>
        <v>0</v>
      </c>
      <c r="L177" s="156">
        <f>'KW 25'!AO6</f>
        <v>0</v>
      </c>
      <c r="M177" s="159">
        <f>'KW 25'!AP6</f>
        <v>0</v>
      </c>
    </row>
    <row r="178" spans="4:13">
      <c r="D178" s="130" t="s">
        <v>292</v>
      </c>
      <c r="E178" s="135">
        <f>'KW 26'!AH7</f>
        <v>0</v>
      </c>
      <c r="F178" s="138">
        <f>'KW 26'!AI7</f>
        <v>0</v>
      </c>
      <c r="G178" s="141">
        <f>'KW 26'!AJ7</f>
        <v>0</v>
      </c>
      <c r="H178" s="144">
        <f>'KW 26'!AK7</f>
        <v>0</v>
      </c>
      <c r="I178" s="147">
        <f>'KW 26'!AL7</f>
        <v>0</v>
      </c>
      <c r="J178" s="150">
        <f>'KW 26'!AM7</f>
        <v>0</v>
      </c>
      <c r="K178" s="153">
        <f>'KW 26'!AN7</f>
        <v>0</v>
      </c>
      <c r="L178" s="156">
        <f>'KW 26'!AO7</f>
        <v>0</v>
      </c>
      <c r="M178" s="159">
        <f>'KW 26'!AP7</f>
        <v>0</v>
      </c>
    </row>
    <row r="179" spans="4:13">
      <c r="D179" s="130" t="s">
        <v>293</v>
      </c>
      <c r="E179" s="135">
        <f>'KW 26'!AH8</f>
        <v>0</v>
      </c>
      <c r="F179" s="138">
        <f>'KW 26'!AI8</f>
        <v>0</v>
      </c>
      <c r="G179" s="141">
        <f>'KW 26'!AJ8</f>
        <v>0</v>
      </c>
      <c r="H179" s="144">
        <f>'KW 26'!AK8</f>
        <v>0</v>
      </c>
      <c r="I179" s="147">
        <f>'KW 26'!AL8</f>
        <v>0</v>
      </c>
      <c r="J179" s="150">
        <f>'KW 26'!AM8</f>
        <v>0</v>
      </c>
      <c r="K179" s="153">
        <f>'KW 26'!AN8</f>
        <v>0</v>
      </c>
      <c r="L179" s="156">
        <f>'KW 26'!AO8</f>
        <v>0</v>
      </c>
      <c r="M179" s="159">
        <f>'KW 26'!AP8</f>
        <v>0</v>
      </c>
    </row>
    <row r="180" spans="4:13">
      <c r="D180" s="130" t="s">
        <v>294</v>
      </c>
      <c r="E180" s="135">
        <f>'KW 26'!AH9</f>
        <v>0</v>
      </c>
      <c r="F180" s="138">
        <f>'KW 26'!AI9</f>
        <v>0</v>
      </c>
      <c r="G180" s="141">
        <f>'KW 26'!AJ9</f>
        <v>0</v>
      </c>
      <c r="H180" s="144">
        <f>'KW 26'!AK9</f>
        <v>0</v>
      </c>
      <c r="I180" s="147">
        <f>'KW 26'!AL9</f>
        <v>0</v>
      </c>
      <c r="J180" s="150">
        <f>'KW 26'!AM9</f>
        <v>0</v>
      </c>
      <c r="K180" s="153">
        <f>'KW 26'!AN9</f>
        <v>0</v>
      </c>
      <c r="L180" s="156">
        <f>'KW 26'!AO9</f>
        <v>0</v>
      </c>
      <c r="M180" s="159">
        <f>'KW 26'!AP9</f>
        <v>0</v>
      </c>
    </row>
    <row r="181" spans="4:13">
      <c r="D181" s="130" t="s">
        <v>295</v>
      </c>
      <c r="E181" s="135">
        <f>'KW 26'!AH10</f>
        <v>0</v>
      </c>
      <c r="F181" s="138">
        <f>'KW 26'!AI10</f>
        <v>0</v>
      </c>
      <c r="G181" s="141">
        <f>'KW 26'!AJ10</f>
        <v>0</v>
      </c>
      <c r="H181" s="144">
        <f>'KW 26'!AK10</f>
        <v>0</v>
      </c>
      <c r="I181" s="147">
        <f>'KW 26'!AL10</f>
        <v>0</v>
      </c>
      <c r="J181" s="150">
        <f>'KW 26'!AM10</f>
        <v>0</v>
      </c>
      <c r="K181" s="153">
        <f>'KW 26'!AN10</f>
        <v>0</v>
      </c>
      <c r="L181" s="156">
        <f>'KW 26'!AO10</f>
        <v>0</v>
      </c>
      <c r="M181" s="159">
        <f>'KW 26'!AP10</f>
        <v>0</v>
      </c>
    </row>
    <row r="182" spans="4:13">
      <c r="D182" s="130" t="s">
        <v>296</v>
      </c>
      <c r="E182" s="135">
        <f>'KW 26'!AH11</f>
        <v>0</v>
      </c>
      <c r="F182" s="138">
        <f>'KW 26'!AI11</f>
        <v>0</v>
      </c>
      <c r="G182" s="141">
        <f>'KW 26'!AJ11</f>
        <v>0</v>
      </c>
      <c r="H182" s="144">
        <f>'KW 26'!AK11</f>
        <v>0</v>
      </c>
      <c r="I182" s="147">
        <f>'KW 26'!AL11</f>
        <v>0</v>
      </c>
      <c r="J182" s="150">
        <f>'KW 26'!AM11</f>
        <v>0</v>
      </c>
      <c r="K182" s="153">
        <f>'KW 26'!AN11</f>
        <v>0</v>
      </c>
      <c r="L182" s="156">
        <f>'KW 26'!AO11</f>
        <v>0</v>
      </c>
      <c r="M182" s="159">
        <f>'KW 26'!AP11</f>
        <v>0</v>
      </c>
    </row>
    <row r="183" spans="4:13">
      <c r="D183" s="130" t="s">
        <v>297</v>
      </c>
      <c r="E183" s="135">
        <f>'KW 26'!AH5</f>
        <v>0</v>
      </c>
      <c r="F183" s="138">
        <f>'KW 26'!AI5</f>
        <v>0</v>
      </c>
      <c r="G183" s="141">
        <f>'KW 26'!AJ5</f>
        <v>0</v>
      </c>
      <c r="H183" s="144">
        <f>'KW 26'!AK5</f>
        <v>0</v>
      </c>
      <c r="I183" s="147">
        <f>'KW 26'!AL5</f>
        <v>0</v>
      </c>
      <c r="J183" s="150">
        <f>'KW 26'!AM5</f>
        <v>0</v>
      </c>
      <c r="K183" s="153">
        <f>'KW 26'!AN5</f>
        <v>0</v>
      </c>
      <c r="L183" s="156">
        <f>'KW 26'!AO5</f>
        <v>0</v>
      </c>
      <c r="M183" s="159">
        <f>'KW 26'!AP5</f>
        <v>0</v>
      </c>
    </row>
    <row r="184" spans="4:13">
      <c r="D184" s="127" t="s">
        <v>298</v>
      </c>
      <c r="E184" s="134">
        <f>'KW 26'!AH6</f>
        <v>0</v>
      </c>
      <c r="F184" s="137">
        <f>'KW 26'!AI6</f>
        <v>0</v>
      </c>
      <c r="G184" s="140">
        <f>'KW 26'!AJ6</f>
        <v>0</v>
      </c>
      <c r="H184" s="143">
        <f>'KW 26'!AK6</f>
        <v>0</v>
      </c>
      <c r="I184" s="146">
        <f>'KW 26'!AL6</f>
        <v>0</v>
      </c>
      <c r="J184" s="149">
        <f>'KW 26'!AM6</f>
        <v>0</v>
      </c>
      <c r="K184" s="152">
        <f>'KW 26'!AN6</f>
        <v>0</v>
      </c>
      <c r="L184" s="155">
        <f>'KW 26'!AO6</f>
        <v>0</v>
      </c>
      <c r="M184" s="158">
        <f>'KW 26'!AP6</f>
        <v>0</v>
      </c>
    </row>
    <row r="185" spans="4:13">
      <c r="D185" s="127" t="s">
        <v>299</v>
      </c>
      <c r="E185" s="134">
        <f>'KW 27'!AH7</f>
        <v>0</v>
      </c>
      <c r="F185" s="137">
        <f>'KW 27'!AI7</f>
        <v>0</v>
      </c>
      <c r="G185" s="140">
        <f>'KW 27'!AJ7</f>
        <v>0</v>
      </c>
      <c r="H185" s="143">
        <f>'KW 27'!AK7</f>
        <v>0</v>
      </c>
      <c r="I185" s="146">
        <f>'KW 27'!AL7</f>
        <v>0</v>
      </c>
      <c r="J185" s="149">
        <f>'KW 27'!AM7</f>
        <v>0</v>
      </c>
      <c r="K185" s="152">
        <f>'KW 27'!AN7</f>
        <v>0</v>
      </c>
      <c r="L185" s="155">
        <f>'KW 27'!AO7</f>
        <v>0</v>
      </c>
      <c r="M185" s="158">
        <f>'KW 27'!AP7</f>
        <v>0</v>
      </c>
    </row>
    <row r="186" spans="4:13">
      <c r="D186" s="127" t="s">
        <v>300</v>
      </c>
      <c r="E186" s="134">
        <f>'KW 27'!AH8</f>
        <v>0</v>
      </c>
      <c r="F186" s="137">
        <f>'KW 27'!AI8</f>
        <v>0</v>
      </c>
      <c r="G186" s="140">
        <f>'KW 27'!AJ8</f>
        <v>0</v>
      </c>
      <c r="H186" s="143">
        <f>'KW 27'!AK8</f>
        <v>0</v>
      </c>
      <c r="I186" s="146">
        <f>'KW 27'!AL8</f>
        <v>0</v>
      </c>
      <c r="J186" s="149">
        <f>'KW 27'!AM8</f>
        <v>0</v>
      </c>
      <c r="K186" s="152">
        <f>'KW 27'!AN8</f>
        <v>0</v>
      </c>
      <c r="L186" s="155">
        <f>'KW 27'!AO8</f>
        <v>0</v>
      </c>
      <c r="M186" s="158">
        <f>'KW 27'!AP8</f>
        <v>0</v>
      </c>
    </row>
    <row r="187" spans="4:13">
      <c r="D187" s="127" t="s">
        <v>301</v>
      </c>
      <c r="E187" s="134">
        <f>'KW 27'!AH9</f>
        <v>0</v>
      </c>
      <c r="F187" s="137">
        <f>'KW 27'!AI9</f>
        <v>0</v>
      </c>
      <c r="G187" s="140">
        <f>'KW 27'!AJ9</f>
        <v>0</v>
      </c>
      <c r="H187" s="143">
        <f>'KW 27'!AK9</f>
        <v>0</v>
      </c>
      <c r="I187" s="146">
        <f>'KW 27'!AL9</f>
        <v>0</v>
      </c>
      <c r="J187" s="149">
        <f>'KW 27'!AM9</f>
        <v>0</v>
      </c>
      <c r="K187" s="152">
        <f>'KW 27'!AN9</f>
        <v>0</v>
      </c>
      <c r="L187" s="155">
        <f>'KW 27'!AO9</f>
        <v>0</v>
      </c>
      <c r="M187" s="158">
        <f>'KW 27'!AP9</f>
        <v>0</v>
      </c>
    </row>
    <row r="188" spans="4:13">
      <c r="D188" s="127" t="s">
        <v>302</v>
      </c>
      <c r="E188" s="134">
        <f>'KW 27'!AH10</f>
        <v>0</v>
      </c>
      <c r="F188" s="137">
        <f>'KW 27'!AI10</f>
        <v>0</v>
      </c>
      <c r="G188" s="140">
        <f>'KW 27'!AJ10</f>
        <v>0</v>
      </c>
      <c r="H188" s="143">
        <f>'KW 27'!AK10</f>
        <v>0</v>
      </c>
      <c r="I188" s="146">
        <f>'KW 27'!AL10</f>
        <v>0</v>
      </c>
      <c r="J188" s="149">
        <f>'KW 27'!AM10</f>
        <v>0</v>
      </c>
      <c r="K188" s="152">
        <f>'KW 27'!AN10</f>
        <v>0</v>
      </c>
      <c r="L188" s="155">
        <f>'KW 27'!AO10</f>
        <v>0</v>
      </c>
      <c r="M188" s="158">
        <f>'KW 27'!AP10</f>
        <v>0</v>
      </c>
    </row>
    <row r="189" spans="4:13">
      <c r="D189" s="127" t="s">
        <v>303</v>
      </c>
      <c r="E189" s="134">
        <f>'KW 27'!AH11</f>
        <v>0</v>
      </c>
      <c r="F189" s="137">
        <f>'KW 27'!AI11</f>
        <v>0</v>
      </c>
      <c r="G189" s="140">
        <f>'KW 27'!AJ11</f>
        <v>0</v>
      </c>
      <c r="H189" s="143">
        <f>'KW 27'!AK11</f>
        <v>0</v>
      </c>
      <c r="I189" s="146">
        <f>'KW 27'!AL11</f>
        <v>0</v>
      </c>
      <c r="J189" s="149">
        <f>'KW 27'!AM11</f>
        <v>0</v>
      </c>
      <c r="K189" s="152">
        <f>'KW 27'!AN11</f>
        <v>0</v>
      </c>
      <c r="L189" s="155">
        <f>'KW 27'!AO11</f>
        <v>0</v>
      </c>
      <c r="M189" s="158">
        <f>'KW 27'!AP11</f>
        <v>0</v>
      </c>
    </row>
    <row r="190" spans="4:13">
      <c r="D190" s="127" t="s">
        <v>304</v>
      </c>
      <c r="E190" s="134">
        <f>'KW 27'!AH5</f>
        <v>0</v>
      </c>
      <c r="F190" s="137">
        <f>'KW 27'!AI5</f>
        <v>0</v>
      </c>
      <c r="G190" s="140">
        <f>'KW 27'!AJ5</f>
        <v>0</v>
      </c>
      <c r="H190" s="143">
        <f>'KW 27'!AK5</f>
        <v>0</v>
      </c>
      <c r="I190" s="146">
        <f>'KW 27'!AL5</f>
        <v>0</v>
      </c>
      <c r="J190" s="149">
        <f>'KW 27'!AM5</f>
        <v>0</v>
      </c>
      <c r="K190" s="152">
        <f>'KW 27'!AN5</f>
        <v>0</v>
      </c>
      <c r="L190" s="155">
        <f>'KW 27'!AO5</f>
        <v>0</v>
      </c>
      <c r="M190" s="158">
        <f>'KW 27'!AP5</f>
        <v>0</v>
      </c>
    </row>
    <row r="191" spans="4:13">
      <c r="D191" s="127" t="s">
        <v>305</v>
      </c>
      <c r="E191" s="134">
        <f>'KW 27'!AH6</f>
        <v>0</v>
      </c>
      <c r="F191" s="137">
        <f>'KW 27'!AI6</f>
        <v>0</v>
      </c>
      <c r="G191" s="140">
        <f>'KW 27'!AJ6</f>
        <v>0</v>
      </c>
      <c r="H191" s="143">
        <f>'KW 27'!AK6</f>
        <v>0</v>
      </c>
      <c r="I191" s="146">
        <f>'KW 27'!AL6</f>
        <v>0</v>
      </c>
      <c r="J191" s="149">
        <f>'KW 27'!AM6</f>
        <v>0</v>
      </c>
      <c r="K191" s="152">
        <f>'KW 27'!AN6</f>
        <v>0</v>
      </c>
      <c r="L191" s="155">
        <f>'KW 27'!AO6</f>
        <v>0</v>
      </c>
      <c r="M191" s="158">
        <f>'KW 27'!AP6</f>
        <v>0</v>
      </c>
    </row>
    <row r="192" spans="4:13">
      <c r="D192" s="127" t="s">
        <v>306</v>
      </c>
      <c r="E192" s="134">
        <f>'KW 28'!AH7</f>
        <v>0</v>
      </c>
      <c r="F192" s="137">
        <f>'KW 28'!AI7</f>
        <v>0</v>
      </c>
      <c r="G192" s="140">
        <f>'KW 28'!AJ7</f>
        <v>0</v>
      </c>
      <c r="H192" s="143">
        <f>'KW 28'!AK7</f>
        <v>0</v>
      </c>
      <c r="I192" s="146">
        <f>'KW 28'!AL7</f>
        <v>0</v>
      </c>
      <c r="J192" s="149">
        <f>'KW 28'!AM7</f>
        <v>0</v>
      </c>
      <c r="K192" s="152">
        <f>'KW 28'!AN7</f>
        <v>0</v>
      </c>
      <c r="L192" s="155">
        <f>'KW 28'!AO7</f>
        <v>0</v>
      </c>
      <c r="M192" s="158">
        <f>'KW 28'!AP7</f>
        <v>0</v>
      </c>
    </row>
    <row r="193" spans="4:13">
      <c r="D193" s="127" t="s">
        <v>307</v>
      </c>
      <c r="E193" s="134">
        <f>'KW 28'!AH8</f>
        <v>0</v>
      </c>
      <c r="F193" s="137">
        <f>'KW 28'!AI8</f>
        <v>0</v>
      </c>
      <c r="G193" s="140">
        <f>'KW 28'!AJ8</f>
        <v>0</v>
      </c>
      <c r="H193" s="143">
        <f>'KW 28'!AK8</f>
        <v>0</v>
      </c>
      <c r="I193" s="146">
        <f>'KW 28'!AL8</f>
        <v>0</v>
      </c>
      <c r="J193" s="149">
        <f>'KW 28'!AM8</f>
        <v>0</v>
      </c>
      <c r="K193" s="152">
        <f>'KW 28'!AN8</f>
        <v>0</v>
      </c>
      <c r="L193" s="155">
        <f>'KW 28'!AO8</f>
        <v>0</v>
      </c>
      <c r="M193" s="158">
        <f>'KW 28'!AP8</f>
        <v>0</v>
      </c>
    </row>
    <row r="194" spans="4:13">
      <c r="D194" s="127" t="s">
        <v>308</v>
      </c>
      <c r="E194" s="134">
        <f>'KW 28'!AH9</f>
        <v>0</v>
      </c>
      <c r="F194" s="137">
        <f>'KW 28'!AI9</f>
        <v>0</v>
      </c>
      <c r="G194" s="140">
        <f>'KW 28'!AJ9</f>
        <v>0</v>
      </c>
      <c r="H194" s="143">
        <f>'KW 28'!AK9</f>
        <v>0</v>
      </c>
      <c r="I194" s="146">
        <f>'KW 28'!AL9</f>
        <v>0</v>
      </c>
      <c r="J194" s="149">
        <f>'KW 28'!AM9</f>
        <v>0</v>
      </c>
      <c r="K194" s="152">
        <f>'KW 28'!AN9</f>
        <v>0</v>
      </c>
      <c r="L194" s="155">
        <f>'KW 28'!AO9</f>
        <v>0</v>
      </c>
      <c r="M194" s="158">
        <f>'KW 28'!AP9</f>
        <v>0</v>
      </c>
    </row>
    <row r="195" spans="4:13">
      <c r="D195" s="127" t="s">
        <v>309</v>
      </c>
      <c r="E195" s="134">
        <f>'KW 28'!AH10</f>
        <v>0</v>
      </c>
      <c r="F195" s="137">
        <f>'KW 28'!AI10</f>
        <v>0</v>
      </c>
      <c r="G195" s="140">
        <f>'KW 28'!AJ10</f>
        <v>0</v>
      </c>
      <c r="H195" s="143">
        <f>'KW 28'!AK10</f>
        <v>0</v>
      </c>
      <c r="I195" s="146">
        <f>'KW 28'!AL10</f>
        <v>0</v>
      </c>
      <c r="J195" s="149">
        <f>'KW 28'!AM10</f>
        <v>0</v>
      </c>
      <c r="K195" s="152">
        <f>'KW 28'!AN10</f>
        <v>0</v>
      </c>
      <c r="L195" s="155">
        <f>'KW 28'!AO10</f>
        <v>0</v>
      </c>
      <c r="M195" s="158">
        <f>'KW 28'!AP10</f>
        <v>0</v>
      </c>
    </row>
    <row r="196" spans="4:13">
      <c r="D196" s="127" t="s">
        <v>310</v>
      </c>
      <c r="E196" s="134">
        <f>'KW 28'!AH11</f>
        <v>0</v>
      </c>
      <c r="F196" s="137">
        <f>'KW 28'!AI11</f>
        <v>0</v>
      </c>
      <c r="G196" s="140">
        <f>'KW 28'!AJ11</f>
        <v>0</v>
      </c>
      <c r="H196" s="143">
        <f>'KW 28'!AK11</f>
        <v>0</v>
      </c>
      <c r="I196" s="146">
        <f>'KW 28'!AL11</f>
        <v>0</v>
      </c>
      <c r="J196" s="149">
        <f>'KW 28'!AM11</f>
        <v>0</v>
      </c>
      <c r="K196" s="152">
        <f>'KW 28'!AN11</f>
        <v>0</v>
      </c>
      <c r="L196" s="155">
        <f>'KW 28'!AO11</f>
        <v>0</v>
      </c>
      <c r="M196" s="158">
        <f>'KW 28'!AP11</f>
        <v>0</v>
      </c>
    </row>
    <row r="197" spans="4:13">
      <c r="D197" s="127" t="s">
        <v>311</v>
      </c>
      <c r="E197" s="134">
        <f>'KW 28'!AH5</f>
        <v>0</v>
      </c>
      <c r="F197" s="137">
        <f>'KW 28'!AI5</f>
        <v>0</v>
      </c>
      <c r="G197" s="140">
        <f>'KW 28'!AJ5</f>
        <v>0</v>
      </c>
      <c r="H197" s="143">
        <f>'KW 28'!AK5</f>
        <v>0</v>
      </c>
      <c r="I197" s="146">
        <f>'KW 28'!AL5</f>
        <v>0</v>
      </c>
      <c r="J197" s="149">
        <f>'KW 28'!AM5</f>
        <v>0</v>
      </c>
      <c r="K197" s="152">
        <f>'KW 28'!AN5</f>
        <v>0</v>
      </c>
      <c r="L197" s="155">
        <f>'KW 28'!AO5</f>
        <v>0</v>
      </c>
      <c r="M197" s="158">
        <f>'KW 28'!AP5</f>
        <v>0</v>
      </c>
    </row>
    <row r="198" spans="4:13">
      <c r="D198" s="127" t="s">
        <v>312</v>
      </c>
      <c r="E198" s="134">
        <f>'KW 28'!AH6</f>
        <v>0</v>
      </c>
      <c r="F198" s="137">
        <f>'KW 28'!AI6</f>
        <v>0</v>
      </c>
      <c r="G198" s="140">
        <f>'KW 28'!AJ6</f>
        <v>0</v>
      </c>
      <c r="H198" s="143">
        <f>'KW 28'!AK6</f>
        <v>0</v>
      </c>
      <c r="I198" s="146">
        <f>'KW 28'!AL6</f>
        <v>0</v>
      </c>
      <c r="J198" s="149">
        <f>'KW 28'!AM6</f>
        <v>0</v>
      </c>
      <c r="K198" s="152">
        <f>'KW 28'!AN6</f>
        <v>0</v>
      </c>
      <c r="L198" s="155">
        <f>'KW 28'!AO6</f>
        <v>0</v>
      </c>
      <c r="M198" s="158">
        <f>'KW 28'!AP6</f>
        <v>0</v>
      </c>
    </row>
    <row r="199" spans="4:13">
      <c r="D199" s="127" t="s">
        <v>313</v>
      </c>
      <c r="E199" s="134">
        <f>'KW 29'!AH7</f>
        <v>0</v>
      </c>
      <c r="F199" s="137">
        <f>'KW 29'!AI7</f>
        <v>0</v>
      </c>
      <c r="G199" s="140">
        <f>'KW 29'!AJ7</f>
        <v>0</v>
      </c>
      <c r="H199" s="143">
        <f>'KW 29'!AK7</f>
        <v>0</v>
      </c>
      <c r="I199" s="146">
        <f>'KW 29'!AL7</f>
        <v>0</v>
      </c>
      <c r="J199" s="149">
        <f>'KW 29'!AM7</f>
        <v>0</v>
      </c>
      <c r="K199" s="152">
        <f>'KW 29'!AN7</f>
        <v>0</v>
      </c>
      <c r="L199" s="155">
        <f>'KW 29'!AO7</f>
        <v>0</v>
      </c>
      <c r="M199" s="158">
        <f>'KW 29'!AP7</f>
        <v>0</v>
      </c>
    </row>
    <row r="200" spans="4:13">
      <c r="D200" s="127" t="s">
        <v>314</v>
      </c>
      <c r="E200" s="134">
        <f>'KW 29'!AH8</f>
        <v>0</v>
      </c>
      <c r="F200" s="137">
        <f>'KW 29'!AI8</f>
        <v>0</v>
      </c>
      <c r="G200" s="140">
        <f>'KW 29'!AJ8</f>
        <v>0</v>
      </c>
      <c r="H200" s="143">
        <f>'KW 29'!AK8</f>
        <v>0</v>
      </c>
      <c r="I200" s="146">
        <f>'KW 29'!AL8</f>
        <v>0</v>
      </c>
      <c r="J200" s="149">
        <f>'KW 29'!AM8</f>
        <v>0</v>
      </c>
      <c r="K200" s="152">
        <f>'KW 29'!AN8</f>
        <v>0</v>
      </c>
      <c r="L200" s="155">
        <f>'KW 29'!AO8</f>
        <v>0</v>
      </c>
      <c r="M200" s="158">
        <f>'KW 29'!AP8</f>
        <v>0</v>
      </c>
    </row>
    <row r="201" spans="4:13">
      <c r="D201" s="127" t="s">
        <v>315</v>
      </c>
      <c r="E201" s="134">
        <f>'KW 29'!AH9</f>
        <v>0</v>
      </c>
      <c r="F201" s="137">
        <f>'KW 29'!AI9</f>
        <v>0</v>
      </c>
      <c r="G201" s="140">
        <f>'KW 29'!AJ9</f>
        <v>0</v>
      </c>
      <c r="H201" s="143">
        <f>'KW 29'!AK9</f>
        <v>0</v>
      </c>
      <c r="I201" s="146">
        <f>'KW 29'!AL9</f>
        <v>0</v>
      </c>
      <c r="J201" s="149">
        <f>'KW 29'!AM9</f>
        <v>0</v>
      </c>
      <c r="K201" s="152">
        <f>'KW 29'!AN9</f>
        <v>0</v>
      </c>
      <c r="L201" s="155">
        <f>'KW 29'!AO9</f>
        <v>0</v>
      </c>
      <c r="M201" s="158">
        <f>'KW 29'!AP9</f>
        <v>0</v>
      </c>
    </row>
    <row r="202" spans="4:13">
      <c r="D202" s="127" t="s">
        <v>316</v>
      </c>
      <c r="E202" s="134">
        <f>'KW 29'!AH10</f>
        <v>0</v>
      </c>
      <c r="F202" s="137">
        <f>'KW 29'!AI10</f>
        <v>0</v>
      </c>
      <c r="G202" s="140">
        <f>'KW 29'!AJ10</f>
        <v>0</v>
      </c>
      <c r="H202" s="143">
        <f>'KW 29'!AK10</f>
        <v>0</v>
      </c>
      <c r="I202" s="146">
        <f>'KW 29'!AL10</f>
        <v>0</v>
      </c>
      <c r="J202" s="149">
        <f>'KW 29'!AM10</f>
        <v>0</v>
      </c>
      <c r="K202" s="152">
        <f>'KW 29'!AN10</f>
        <v>0</v>
      </c>
      <c r="L202" s="155">
        <f>'KW 29'!AO10</f>
        <v>0</v>
      </c>
      <c r="M202" s="158">
        <f>'KW 29'!AP10</f>
        <v>0</v>
      </c>
    </row>
    <row r="203" spans="4:13">
      <c r="D203" s="127" t="s">
        <v>317</v>
      </c>
      <c r="E203" s="134">
        <f>'KW 29'!AH11</f>
        <v>0</v>
      </c>
      <c r="F203" s="137">
        <f>'KW 29'!AI11</f>
        <v>0</v>
      </c>
      <c r="G203" s="140">
        <f>'KW 29'!AJ11</f>
        <v>0</v>
      </c>
      <c r="H203" s="143">
        <f>'KW 29'!AK11</f>
        <v>0</v>
      </c>
      <c r="I203" s="146">
        <f>'KW 29'!AL11</f>
        <v>0</v>
      </c>
      <c r="J203" s="149">
        <f>'KW 29'!AM11</f>
        <v>0</v>
      </c>
      <c r="K203" s="152">
        <f>'KW 29'!AN11</f>
        <v>0</v>
      </c>
      <c r="L203" s="155">
        <f>'KW 29'!AO11</f>
        <v>0</v>
      </c>
      <c r="M203" s="158">
        <f>'KW 29'!AP11</f>
        <v>0</v>
      </c>
    </row>
    <row r="204" spans="4:13">
      <c r="D204" s="127" t="s">
        <v>318</v>
      </c>
      <c r="E204" s="134">
        <f>'KW 29'!AH5</f>
        <v>0</v>
      </c>
      <c r="F204" s="137">
        <f>'KW 29'!AI5</f>
        <v>0</v>
      </c>
      <c r="G204" s="140">
        <f>'KW 29'!AJ5</f>
        <v>0</v>
      </c>
      <c r="H204" s="143">
        <f>'KW 29'!AK5</f>
        <v>0</v>
      </c>
      <c r="I204" s="146">
        <f>'KW 29'!AL5</f>
        <v>0</v>
      </c>
      <c r="J204" s="149">
        <f>'KW 29'!AM5</f>
        <v>0</v>
      </c>
      <c r="K204" s="152">
        <f>'KW 29'!AN5</f>
        <v>0</v>
      </c>
      <c r="L204" s="155">
        <f>'KW 29'!AO5</f>
        <v>0</v>
      </c>
      <c r="M204" s="158">
        <f>'KW 29'!AP5</f>
        <v>0</v>
      </c>
    </row>
    <row r="205" spans="4:13">
      <c r="D205" s="127" t="s">
        <v>319</v>
      </c>
      <c r="E205" s="134">
        <f>'KW 29'!AH6</f>
        <v>0</v>
      </c>
      <c r="F205" s="137">
        <f>'KW 29'!AI6</f>
        <v>0</v>
      </c>
      <c r="G205" s="140">
        <f>'KW 29'!AJ6</f>
        <v>0</v>
      </c>
      <c r="H205" s="143">
        <f>'KW 29'!AK6</f>
        <v>0</v>
      </c>
      <c r="I205" s="146">
        <f>'KW 29'!AL6</f>
        <v>0</v>
      </c>
      <c r="J205" s="149">
        <f>'KW 29'!AM6</f>
        <v>0</v>
      </c>
      <c r="K205" s="152">
        <f>'KW 29'!AN6</f>
        <v>0</v>
      </c>
      <c r="L205" s="155">
        <f>'KW 29'!AO6</f>
        <v>0</v>
      </c>
      <c r="M205" s="158">
        <f>'KW 29'!AP6</f>
        <v>0</v>
      </c>
    </row>
    <row r="206" spans="4:13">
      <c r="D206" s="127" t="s">
        <v>320</v>
      </c>
      <c r="E206" s="134">
        <f>'KW 30'!AH7</f>
        <v>0</v>
      </c>
      <c r="F206" s="137">
        <f>'KW 30'!AI7</f>
        <v>0</v>
      </c>
      <c r="G206" s="140">
        <f>'KW 30'!AJ7</f>
        <v>0</v>
      </c>
      <c r="H206" s="143">
        <f>'KW 30'!AK7</f>
        <v>0</v>
      </c>
      <c r="I206" s="146">
        <f>'KW 30'!AL7</f>
        <v>0</v>
      </c>
      <c r="J206" s="149">
        <f>'KW 30'!AM7</f>
        <v>0</v>
      </c>
      <c r="K206" s="152">
        <f>'KW 30'!AN7</f>
        <v>0</v>
      </c>
      <c r="L206" s="155">
        <f>'KW 30'!AO7</f>
        <v>0</v>
      </c>
      <c r="M206" s="158">
        <f>'KW 30'!AP7</f>
        <v>0</v>
      </c>
    </row>
    <row r="207" spans="4:13">
      <c r="D207" s="127" t="s">
        <v>321</v>
      </c>
      <c r="E207" s="134">
        <f>'KW 30'!AH8</f>
        <v>0</v>
      </c>
      <c r="F207" s="137">
        <f>'KW 30'!AI8</f>
        <v>0</v>
      </c>
      <c r="G207" s="140">
        <f>'KW 30'!AJ8</f>
        <v>0</v>
      </c>
      <c r="H207" s="143">
        <f>'KW 30'!AK8</f>
        <v>0</v>
      </c>
      <c r="I207" s="146">
        <f>'KW 30'!AL8</f>
        <v>0</v>
      </c>
      <c r="J207" s="149">
        <f>'KW 30'!AM8</f>
        <v>0</v>
      </c>
      <c r="K207" s="152">
        <f>'KW 30'!AN8</f>
        <v>0</v>
      </c>
      <c r="L207" s="155">
        <f>'KW 30'!AO8</f>
        <v>0</v>
      </c>
      <c r="M207" s="158">
        <f>'KW 30'!AP8</f>
        <v>0</v>
      </c>
    </row>
    <row r="208" spans="4:13">
      <c r="D208" s="127" t="s">
        <v>322</v>
      </c>
      <c r="E208" s="134">
        <f>'KW 30'!AH9</f>
        <v>0</v>
      </c>
      <c r="F208" s="137">
        <f>'KW 30'!AI9</f>
        <v>0</v>
      </c>
      <c r="G208" s="140">
        <f>'KW 30'!AJ9</f>
        <v>0</v>
      </c>
      <c r="H208" s="143">
        <f>'KW 30'!AK9</f>
        <v>0</v>
      </c>
      <c r="I208" s="146">
        <f>'KW 30'!AL9</f>
        <v>0</v>
      </c>
      <c r="J208" s="149">
        <f>'KW 30'!AM9</f>
        <v>0</v>
      </c>
      <c r="K208" s="152">
        <f>'KW 30'!AN9</f>
        <v>0</v>
      </c>
      <c r="L208" s="155">
        <f>'KW 30'!AO9</f>
        <v>0</v>
      </c>
      <c r="M208" s="158">
        <f>'KW 30'!AP9</f>
        <v>0</v>
      </c>
    </row>
    <row r="209" spans="4:13">
      <c r="D209" s="127" t="s">
        <v>323</v>
      </c>
      <c r="E209" s="134">
        <f>'KW 30'!AH10</f>
        <v>0</v>
      </c>
      <c r="F209" s="137">
        <f>'KW 30'!AI10</f>
        <v>0</v>
      </c>
      <c r="G209" s="140">
        <f>'KW 30'!AJ10</f>
        <v>0</v>
      </c>
      <c r="H209" s="143">
        <f>'KW 30'!AK10</f>
        <v>0</v>
      </c>
      <c r="I209" s="146">
        <f>'KW 30'!AL10</f>
        <v>0</v>
      </c>
      <c r="J209" s="149">
        <f>'KW 30'!AM10</f>
        <v>0</v>
      </c>
      <c r="K209" s="152">
        <f>'KW 30'!AN10</f>
        <v>0</v>
      </c>
      <c r="L209" s="155">
        <f>'KW 30'!AO10</f>
        <v>0</v>
      </c>
      <c r="M209" s="158">
        <f>'KW 30'!AP10</f>
        <v>0</v>
      </c>
    </row>
    <row r="210" spans="4:13">
      <c r="D210" s="127" t="s">
        <v>324</v>
      </c>
      <c r="E210" s="134">
        <f>'KW 30'!AH11</f>
        <v>0</v>
      </c>
      <c r="F210" s="137">
        <f>'KW 30'!AI11</f>
        <v>0</v>
      </c>
      <c r="G210" s="140">
        <f>'KW 30'!AJ11</f>
        <v>0</v>
      </c>
      <c r="H210" s="143">
        <f>'KW 30'!AK11</f>
        <v>0</v>
      </c>
      <c r="I210" s="146">
        <f>'KW 30'!AL11</f>
        <v>0</v>
      </c>
      <c r="J210" s="149">
        <f>'KW 30'!AM11</f>
        <v>0</v>
      </c>
      <c r="K210" s="152">
        <f>'KW 30'!AN11</f>
        <v>0</v>
      </c>
      <c r="L210" s="155">
        <f>'KW 30'!AO11</f>
        <v>0</v>
      </c>
      <c r="M210" s="158">
        <f>'KW 30'!AP11</f>
        <v>0</v>
      </c>
    </row>
    <row r="211" spans="4:13">
      <c r="D211" s="127" t="s">
        <v>325</v>
      </c>
      <c r="E211" s="134">
        <f>'KW 30'!AH5</f>
        <v>0</v>
      </c>
      <c r="F211" s="137">
        <f>'KW 30'!AI5</f>
        <v>0</v>
      </c>
      <c r="G211" s="140">
        <f>'KW 30'!AJ5</f>
        <v>0</v>
      </c>
      <c r="H211" s="143">
        <f>'KW 30'!AK5</f>
        <v>0</v>
      </c>
      <c r="I211" s="146">
        <f>'KW 30'!AL5</f>
        <v>0</v>
      </c>
      <c r="J211" s="149">
        <f>'KW 30'!AM5</f>
        <v>0</v>
      </c>
      <c r="K211" s="152">
        <f>'KW 30'!AN5</f>
        <v>0</v>
      </c>
      <c r="L211" s="155">
        <f>'KW 30'!AO5</f>
        <v>0</v>
      </c>
      <c r="M211" s="158">
        <f>'KW 30'!AP5</f>
        <v>0</v>
      </c>
    </row>
    <row r="212" spans="4:13">
      <c r="D212" s="127" t="s">
        <v>326</v>
      </c>
      <c r="E212" s="134">
        <f>'KW 30'!AH6</f>
        <v>0</v>
      </c>
      <c r="F212" s="137">
        <f>'KW 30'!AI6</f>
        <v>0</v>
      </c>
      <c r="G212" s="140">
        <f>'KW 30'!AJ6</f>
        <v>0</v>
      </c>
      <c r="H212" s="143">
        <f>'KW 30'!AK6</f>
        <v>0</v>
      </c>
      <c r="I212" s="146">
        <f>'KW 30'!AL6</f>
        <v>0</v>
      </c>
      <c r="J212" s="149">
        <f>'KW 30'!AM6</f>
        <v>0</v>
      </c>
      <c r="K212" s="152">
        <f>'KW 30'!AN6</f>
        <v>0</v>
      </c>
      <c r="L212" s="155">
        <f>'KW 30'!AO6</f>
        <v>0</v>
      </c>
      <c r="M212" s="158">
        <f>'KW 30'!AP6</f>
        <v>0</v>
      </c>
    </row>
    <row r="213" spans="4:13">
      <c r="D213" s="127" t="s">
        <v>327</v>
      </c>
      <c r="E213" s="134">
        <f>'KW 31'!AH7</f>
        <v>0</v>
      </c>
      <c r="F213" s="137">
        <f>'KW 31'!AI7</f>
        <v>0</v>
      </c>
      <c r="G213" s="140">
        <f>'KW 31'!AJ7</f>
        <v>0</v>
      </c>
      <c r="H213" s="143">
        <f>'KW 31'!AK7</f>
        <v>0</v>
      </c>
      <c r="I213" s="146">
        <f>'KW 31'!AL7</f>
        <v>0</v>
      </c>
      <c r="J213" s="149">
        <f>'KW 31'!AM7</f>
        <v>0</v>
      </c>
      <c r="K213" s="152">
        <f>'KW 31'!AN7</f>
        <v>0</v>
      </c>
      <c r="L213" s="155">
        <f>'KW 31'!AO7</f>
        <v>0</v>
      </c>
      <c r="M213" s="158">
        <f>'KW 31'!AP7</f>
        <v>0</v>
      </c>
    </row>
    <row r="214" spans="4:13">
      <c r="D214" s="127" t="s">
        <v>328</v>
      </c>
      <c r="E214" s="134">
        <f>'KW 31'!AH8</f>
        <v>0</v>
      </c>
      <c r="F214" s="137">
        <f>'KW 31'!AI8</f>
        <v>0</v>
      </c>
      <c r="G214" s="140">
        <f>'KW 31'!AJ8</f>
        <v>0</v>
      </c>
      <c r="H214" s="143">
        <f>'KW 31'!AK8</f>
        <v>0</v>
      </c>
      <c r="I214" s="146">
        <f>'KW 31'!AL8</f>
        <v>0</v>
      </c>
      <c r="J214" s="149">
        <f>'KW 31'!AM8</f>
        <v>0</v>
      </c>
      <c r="K214" s="152">
        <f>'KW 31'!AN8</f>
        <v>0</v>
      </c>
      <c r="L214" s="155">
        <f>'KW 31'!AO8</f>
        <v>0</v>
      </c>
      <c r="M214" s="158">
        <f>'KW 31'!AP8</f>
        <v>0</v>
      </c>
    </row>
    <row r="215" spans="4:13">
      <c r="D215" s="130" t="s">
        <v>329</v>
      </c>
      <c r="E215" s="135">
        <f>'KW 31'!AH9</f>
        <v>0</v>
      </c>
      <c r="F215" s="138">
        <f>'KW 31'!AI9</f>
        <v>0</v>
      </c>
      <c r="G215" s="141">
        <f>'KW 31'!AJ9</f>
        <v>0</v>
      </c>
      <c r="H215" s="144">
        <f>'KW 31'!AK9</f>
        <v>0</v>
      </c>
      <c r="I215" s="147">
        <f>'KW 31'!AL9</f>
        <v>0</v>
      </c>
      <c r="J215" s="150">
        <f>'KW 31'!AM9</f>
        <v>0</v>
      </c>
      <c r="K215" s="153">
        <f>'KW 31'!AN9</f>
        <v>0</v>
      </c>
      <c r="L215" s="156">
        <f>'KW 31'!AO9</f>
        <v>0</v>
      </c>
      <c r="M215" s="159">
        <f>'KW 31'!AP9</f>
        <v>0</v>
      </c>
    </row>
    <row r="216" spans="4:13">
      <c r="D216" s="130" t="s">
        <v>330</v>
      </c>
      <c r="E216" s="135">
        <f>'KW 31'!AH10</f>
        <v>0</v>
      </c>
      <c r="F216" s="138">
        <f>'KW 31'!AI10</f>
        <v>0</v>
      </c>
      <c r="G216" s="141">
        <f>'KW 31'!AJ10</f>
        <v>0</v>
      </c>
      <c r="H216" s="144">
        <f>'KW 31'!AK10</f>
        <v>0</v>
      </c>
      <c r="I216" s="147">
        <f>'KW 31'!AL10</f>
        <v>0</v>
      </c>
      <c r="J216" s="150">
        <f>'KW 31'!AM10</f>
        <v>0</v>
      </c>
      <c r="K216" s="153">
        <f>'KW 31'!AN10</f>
        <v>0</v>
      </c>
      <c r="L216" s="156">
        <f>'KW 31'!AO10</f>
        <v>0</v>
      </c>
      <c r="M216" s="159">
        <f>'KW 31'!AP10</f>
        <v>0</v>
      </c>
    </row>
    <row r="217" spans="4:13">
      <c r="D217" s="130" t="s">
        <v>331</v>
      </c>
      <c r="E217" s="135">
        <f>'KW 31'!AH11</f>
        <v>0</v>
      </c>
      <c r="F217" s="138">
        <f>'KW 31'!AI11</f>
        <v>0</v>
      </c>
      <c r="G217" s="141">
        <f>'KW 31'!AJ11</f>
        <v>0</v>
      </c>
      <c r="H217" s="144">
        <f>'KW 31'!AK11</f>
        <v>0</v>
      </c>
      <c r="I217" s="147">
        <f>'KW 31'!AL11</f>
        <v>0</v>
      </c>
      <c r="J217" s="150">
        <f>'KW 31'!AM11</f>
        <v>0</v>
      </c>
      <c r="K217" s="153">
        <f>'KW 31'!AN11</f>
        <v>0</v>
      </c>
      <c r="L217" s="156">
        <f>'KW 31'!AO11</f>
        <v>0</v>
      </c>
      <c r="M217" s="159">
        <f>'KW 31'!AP11</f>
        <v>0</v>
      </c>
    </row>
    <row r="218" spans="4:13">
      <c r="D218" s="130" t="s">
        <v>332</v>
      </c>
      <c r="E218" s="135">
        <f>'KW 31'!AH5</f>
        <v>0</v>
      </c>
      <c r="F218" s="138">
        <f>'KW 31'!AI5</f>
        <v>0</v>
      </c>
      <c r="G218" s="141">
        <f>'KW 31'!AJ5</f>
        <v>0</v>
      </c>
      <c r="H218" s="144">
        <f>'KW 31'!AK5</f>
        <v>0</v>
      </c>
      <c r="I218" s="147">
        <f>'KW 31'!AL5</f>
        <v>0</v>
      </c>
      <c r="J218" s="150">
        <f>'KW 31'!AM5</f>
        <v>0</v>
      </c>
      <c r="K218" s="153">
        <f>'KW 31'!AN5</f>
        <v>0</v>
      </c>
      <c r="L218" s="156">
        <f>'KW 31'!AO5</f>
        <v>0</v>
      </c>
      <c r="M218" s="159">
        <f>'KW 31'!AP5</f>
        <v>0</v>
      </c>
    </row>
    <row r="219" spans="4:13">
      <c r="D219" s="130" t="s">
        <v>333</v>
      </c>
      <c r="E219" s="135">
        <f>'KW 31'!AH6</f>
        <v>0</v>
      </c>
      <c r="F219" s="138">
        <f>'KW 31'!AI6</f>
        <v>0</v>
      </c>
      <c r="G219" s="141">
        <f>'KW 31'!AJ6</f>
        <v>0</v>
      </c>
      <c r="H219" s="144">
        <f>'KW 31'!AK6</f>
        <v>0</v>
      </c>
      <c r="I219" s="147">
        <f>'KW 31'!AL6</f>
        <v>0</v>
      </c>
      <c r="J219" s="150">
        <f>'KW 31'!AM6</f>
        <v>0</v>
      </c>
      <c r="K219" s="153">
        <f>'KW 31'!AN6</f>
        <v>0</v>
      </c>
      <c r="L219" s="156">
        <f>'KW 31'!AO6</f>
        <v>0</v>
      </c>
      <c r="M219" s="159">
        <f>'KW 31'!AP6</f>
        <v>0</v>
      </c>
    </row>
    <row r="220" spans="4:13">
      <c r="D220" s="130" t="s">
        <v>334</v>
      </c>
      <c r="E220" s="135">
        <f>'KW 32'!AH7</f>
        <v>0</v>
      </c>
      <c r="F220" s="138">
        <f>'KW 32'!AI7</f>
        <v>0</v>
      </c>
      <c r="G220" s="141">
        <f>'KW 32'!AJ7</f>
        <v>0</v>
      </c>
      <c r="H220" s="144">
        <f>'KW 32'!AK7</f>
        <v>0</v>
      </c>
      <c r="I220" s="147">
        <f>'KW 32'!AL7</f>
        <v>0</v>
      </c>
      <c r="J220" s="150">
        <f>'KW 32'!AM7</f>
        <v>0</v>
      </c>
      <c r="K220" s="153">
        <f>'KW 32'!AN7</f>
        <v>0</v>
      </c>
      <c r="L220" s="156">
        <f>'KW 32'!AO7</f>
        <v>0</v>
      </c>
      <c r="M220" s="159">
        <f>'KW 32'!AP7</f>
        <v>0</v>
      </c>
    </row>
    <row r="221" spans="4:13">
      <c r="D221" s="130" t="s">
        <v>335</v>
      </c>
      <c r="E221" s="135">
        <f>'KW 32'!AH8</f>
        <v>0</v>
      </c>
      <c r="F221" s="138">
        <f>'KW 32'!AI8</f>
        <v>0</v>
      </c>
      <c r="G221" s="141">
        <f>'KW 32'!AJ8</f>
        <v>0</v>
      </c>
      <c r="H221" s="144">
        <f>'KW 32'!AK8</f>
        <v>0</v>
      </c>
      <c r="I221" s="147">
        <f>'KW 32'!AL8</f>
        <v>0</v>
      </c>
      <c r="J221" s="150">
        <f>'KW 32'!AM8</f>
        <v>0</v>
      </c>
      <c r="K221" s="153">
        <f>'KW 32'!AN8</f>
        <v>0</v>
      </c>
      <c r="L221" s="156">
        <f>'KW 32'!AO8</f>
        <v>0</v>
      </c>
      <c r="M221" s="159">
        <f>'KW 32'!AP8</f>
        <v>0</v>
      </c>
    </row>
    <row r="222" spans="4:13">
      <c r="D222" s="130" t="s">
        <v>336</v>
      </c>
      <c r="E222" s="135">
        <f>'KW 32'!AH9</f>
        <v>0</v>
      </c>
      <c r="F222" s="138">
        <f>'KW 32'!AI9</f>
        <v>0</v>
      </c>
      <c r="G222" s="141">
        <f>'KW 32'!AJ9</f>
        <v>0</v>
      </c>
      <c r="H222" s="144">
        <f>'KW 32'!AK9</f>
        <v>0</v>
      </c>
      <c r="I222" s="147">
        <f>'KW 32'!AL9</f>
        <v>0</v>
      </c>
      <c r="J222" s="150">
        <f>'KW 32'!AM9</f>
        <v>0</v>
      </c>
      <c r="K222" s="153">
        <f>'KW 32'!AN9</f>
        <v>0</v>
      </c>
      <c r="L222" s="156">
        <f>'KW 32'!AO9</f>
        <v>0</v>
      </c>
      <c r="M222" s="159">
        <f>'KW 32'!AP9</f>
        <v>0</v>
      </c>
    </row>
    <row r="223" spans="4:13">
      <c r="D223" s="130" t="s">
        <v>337</v>
      </c>
      <c r="E223" s="135">
        <f>'KW 32'!AH10</f>
        <v>0</v>
      </c>
      <c r="F223" s="138">
        <f>'KW 32'!AI10</f>
        <v>0</v>
      </c>
      <c r="G223" s="141">
        <f>'KW 32'!AJ10</f>
        <v>0</v>
      </c>
      <c r="H223" s="144">
        <f>'KW 32'!AK10</f>
        <v>0</v>
      </c>
      <c r="I223" s="147">
        <f>'KW 32'!AL10</f>
        <v>0</v>
      </c>
      <c r="J223" s="150">
        <f>'KW 32'!AM10</f>
        <v>0</v>
      </c>
      <c r="K223" s="153">
        <f>'KW 32'!AN10</f>
        <v>0</v>
      </c>
      <c r="L223" s="156">
        <f>'KW 32'!AO10</f>
        <v>0</v>
      </c>
      <c r="M223" s="159">
        <f>'KW 32'!AP10</f>
        <v>0</v>
      </c>
    </row>
    <row r="224" spans="4:13">
      <c r="D224" s="130" t="s">
        <v>338</v>
      </c>
      <c r="E224" s="135">
        <f>'KW 32'!AH11</f>
        <v>0</v>
      </c>
      <c r="F224" s="138">
        <f>'KW 32'!AI11</f>
        <v>0</v>
      </c>
      <c r="G224" s="141">
        <f>'KW 32'!AJ11</f>
        <v>0</v>
      </c>
      <c r="H224" s="144">
        <f>'KW 32'!AK11</f>
        <v>0</v>
      </c>
      <c r="I224" s="147">
        <f>'KW 32'!AL11</f>
        <v>0</v>
      </c>
      <c r="J224" s="150">
        <f>'KW 32'!AM11</f>
        <v>0</v>
      </c>
      <c r="K224" s="153">
        <f>'KW 32'!AN11</f>
        <v>0</v>
      </c>
      <c r="L224" s="156">
        <f>'KW 32'!AO11</f>
        <v>0</v>
      </c>
      <c r="M224" s="159">
        <f>'KW 32'!AP11</f>
        <v>0</v>
      </c>
    </row>
    <row r="225" spans="4:13">
      <c r="D225" s="130" t="s">
        <v>339</v>
      </c>
      <c r="E225" s="135">
        <f>'KW 32'!AH5</f>
        <v>0</v>
      </c>
      <c r="F225" s="138">
        <f>'KW 32'!AI5</f>
        <v>0</v>
      </c>
      <c r="G225" s="141">
        <f>'KW 32'!AJ5</f>
        <v>0</v>
      </c>
      <c r="H225" s="144">
        <f>'KW 32'!AK5</f>
        <v>0</v>
      </c>
      <c r="I225" s="147">
        <f>'KW 32'!AL5</f>
        <v>0</v>
      </c>
      <c r="J225" s="150">
        <f>'KW 32'!AM5</f>
        <v>0</v>
      </c>
      <c r="K225" s="153">
        <f>'KW 32'!AN5</f>
        <v>0</v>
      </c>
      <c r="L225" s="156">
        <f>'KW 32'!AO5</f>
        <v>0</v>
      </c>
      <c r="M225" s="159">
        <f>'KW 32'!AP5</f>
        <v>0</v>
      </c>
    </row>
    <row r="226" spans="4:13">
      <c r="D226" s="130" t="s">
        <v>340</v>
      </c>
      <c r="E226" s="135">
        <f>'KW 32'!AH6</f>
        <v>0</v>
      </c>
      <c r="F226" s="138">
        <f>'KW 32'!AI6</f>
        <v>0</v>
      </c>
      <c r="G226" s="141">
        <f>'KW 32'!AJ6</f>
        <v>0</v>
      </c>
      <c r="H226" s="144">
        <f>'KW 32'!AK6</f>
        <v>0</v>
      </c>
      <c r="I226" s="147">
        <f>'KW 32'!AL6</f>
        <v>0</v>
      </c>
      <c r="J226" s="150">
        <f>'KW 32'!AM6</f>
        <v>0</v>
      </c>
      <c r="K226" s="153">
        <f>'KW 32'!AN6</f>
        <v>0</v>
      </c>
      <c r="L226" s="156">
        <f>'KW 32'!AO6</f>
        <v>0</v>
      </c>
      <c r="M226" s="159">
        <f>'KW 32'!AP6</f>
        <v>0</v>
      </c>
    </row>
    <row r="227" spans="4:13">
      <c r="D227" s="130" t="s">
        <v>341</v>
      </c>
      <c r="E227" s="135">
        <f>'KW 33'!AH7</f>
        <v>0</v>
      </c>
      <c r="F227" s="138">
        <f>'KW 33'!AI7</f>
        <v>0</v>
      </c>
      <c r="G227" s="141">
        <f>'KW 33'!AJ7</f>
        <v>0</v>
      </c>
      <c r="H227" s="144">
        <f>'KW 33'!AK7</f>
        <v>0</v>
      </c>
      <c r="I227" s="147">
        <f>'KW 33'!AL7</f>
        <v>0</v>
      </c>
      <c r="J227" s="150">
        <f>'KW 33'!AM7</f>
        <v>0</v>
      </c>
      <c r="K227" s="153">
        <f>'KW 33'!AN7</f>
        <v>0</v>
      </c>
      <c r="L227" s="156">
        <f>'KW 33'!AO7</f>
        <v>0</v>
      </c>
      <c r="M227" s="159">
        <f>'KW 33'!AP7</f>
        <v>0</v>
      </c>
    </row>
    <row r="228" spans="4:13">
      <c r="D228" s="130" t="s">
        <v>342</v>
      </c>
      <c r="E228" s="135">
        <f>'KW 33'!AH8</f>
        <v>0</v>
      </c>
      <c r="F228" s="138">
        <f>'KW 33'!AI8</f>
        <v>0</v>
      </c>
      <c r="G228" s="141">
        <f>'KW 33'!AJ8</f>
        <v>0</v>
      </c>
      <c r="H228" s="144">
        <f>'KW 33'!AK8</f>
        <v>0</v>
      </c>
      <c r="I228" s="147">
        <f>'KW 33'!AL8</f>
        <v>0</v>
      </c>
      <c r="J228" s="150">
        <f>'KW 33'!AM8</f>
        <v>0</v>
      </c>
      <c r="K228" s="153">
        <f>'KW 33'!AN8</f>
        <v>0</v>
      </c>
      <c r="L228" s="156">
        <f>'KW 33'!AO8</f>
        <v>0</v>
      </c>
      <c r="M228" s="159">
        <f>'KW 33'!AP8</f>
        <v>0</v>
      </c>
    </row>
    <row r="229" spans="4:13">
      <c r="D229" s="130" t="s">
        <v>343</v>
      </c>
      <c r="E229" s="135">
        <f>'KW 33'!AH9</f>
        <v>0</v>
      </c>
      <c r="F229" s="138">
        <f>'KW 33'!AI9</f>
        <v>0</v>
      </c>
      <c r="G229" s="141">
        <f>'KW 33'!AJ9</f>
        <v>0</v>
      </c>
      <c r="H229" s="144">
        <f>'KW 33'!AK9</f>
        <v>0</v>
      </c>
      <c r="I229" s="147">
        <f>'KW 33'!AL9</f>
        <v>0</v>
      </c>
      <c r="J229" s="150">
        <f>'KW 33'!AM9</f>
        <v>0</v>
      </c>
      <c r="K229" s="153">
        <f>'KW 33'!AN9</f>
        <v>0</v>
      </c>
      <c r="L229" s="156">
        <f>'KW 33'!AO9</f>
        <v>0</v>
      </c>
      <c r="M229" s="159">
        <f>'KW 33'!AP9</f>
        <v>0</v>
      </c>
    </row>
    <row r="230" spans="4:13">
      <c r="D230" s="130" t="s">
        <v>344</v>
      </c>
      <c r="E230" s="135">
        <f>'KW 33'!AH10</f>
        <v>0</v>
      </c>
      <c r="F230" s="138">
        <f>'KW 33'!AI10</f>
        <v>0</v>
      </c>
      <c r="G230" s="141">
        <f>'KW 33'!AJ10</f>
        <v>0</v>
      </c>
      <c r="H230" s="144">
        <f>'KW 33'!AK10</f>
        <v>0</v>
      </c>
      <c r="I230" s="147">
        <f>'KW 33'!AL10</f>
        <v>0</v>
      </c>
      <c r="J230" s="150">
        <f>'KW 33'!AM10</f>
        <v>0</v>
      </c>
      <c r="K230" s="153">
        <f>'KW 33'!AN10</f>
        <v>0</v>
      </c>
      <c r="L230" s="156">
        <f>'KW 33'!AO10</f>
        <v>0</v>
      </c>
      <c r="M230" s="159">
        <f>'KW 33'!AP10</f>
        <v>0</v>
      </c>
    </row>
    <row r="231" spans="4:13">
      <c r="D231" s="130" t="s">
        <v>345</v>
      </c>
      <c r="E231" s="135">
        <f>'KW 33'!AH11</f>
        <v>0</v>
      </c>
      <c r="F231" s="138">
        <f>'KW 33'!AI11</f>
        <v>0</v>
      </c>
      <c r="G231" s="141">
        <f>'KW 33'!AJ11</f>
        <v>0</v>
      </c>
      <c r="H231" s="144">
        <f>'KW 33'!AK11</f>
        <v>0</v>
      </c>
      <c r="I231" s="147">
        <f>'KW 33'!AL11</f>
        <v>0</v>
      </c>
      <c r="J231" s="150">
        <f>'KW 33'!AM11</f>
        <v>0</v>
      </c>
      <c r="K231" s="153">
        <f>'KW 33'!AN11</f>
        <v>0</v>
      </c>
      <c r="L231" s="156">
        <f>'KW 33'!AO11</f>
        <v>0</v>
      </c>
      <c r="M231" s="159">
        <f>'KW 33'!AP11</f>
        <v>0</v>
      </c>
    </row>
    <row r="232" spans="4:13">
      <c r="D232" s="130" t="s">
        <v>346</v>
      </c>
      <c r="E232" s="135">
        <f>'KW 33'!AH5</f>
        <v>0</v>
      </c>
      <c r="F232" s="138">
        <f>'KW 33'!AI5</f>
        <v>0</v>
      </c>
      <c r="G232" s="141">
        <f>'KW 33'!AJ5</f>
        <v>0</v>
      </c>
      <c r="H232" s="144">
        <f>'KW 33'!AK5</f>
        <v>0</v>
      </c>
      <c r="I232" s="147">
        <f>'KW 33'!AL5</f>
        <v>0</v>
      </c>
      <c r="J232" s="150">
        <f>'KW 33'!AM5</f>
        <v>0</v>
      </c>
      <c r="K232" s="153">
        <f>'KW 33'!AN5</f>
        <v>0</v>
      </c>
      <c r="L232" s="156">
        <f>'KW 33'!AO5</f>
        <v>0</v>
      </c>
      <c r="M232" s="159">
        <f>'KW 33'!AP5</f>
        <v>0</v>
      </c>
    </row>
    <row r="233" spans="4:13">
      <c r="D233" s="130" t="s">
        <v>347</v>
      </c>
      <c r="E233" s="135">
        <f>'KW 33'!AH6</f>
        <v>0</v>
      </c>
      <c r="F233" s="138">
        <f>'KW 33'!AI6</f>
        <v>0</v>
      </c>
      <c r="G233" s="141">
        <f>'KW 33'!AJ6</f>
        <v>0</v>
      </c>
      <c r="H233" s="144">
        <f>'KW 33'!AK6</f>
        <v>0</v>
      </c>
      <c r="I233" s="147">
        <f>'KW 33'!AL6</f>
        <v>0</v>
      </c>
      <c r="J233" s="150">
        <f>'KW 33'!AM6</f>
        <v>0</v>
      </c>
      <c r="K233" s="153">
        <f>'KW 33'!AN6</f>
        <v>0</v>
      </c>
      <c r="L233" s="156">
        <f>'KW 33'!AO6</f>
        <v>0</v>
      </c>
      <c r="M233" s="159">
        <f>'KW 33'!AP6</f>
        <v>0</v>
      </c>
    </row>
    <row r="234" spans="4:13">
      <c r="D234" s="130" t="s">
        <v>348</v>
      </c>
      <c r="E234" s="135">
        <f>'KW 34'!AH7</f>
        <v>0</v>
      </c>
      <c r="F234" s="138">
        <f>'KW 34'!AI7</f>
        <v>0</v>
      </c>
      <c r="G234" s="141">
        <f>'KW 34'!AJ7</f>
        <v>0</v>
      </c>
      <c r="H234" s="144">
        <f>'KW 34'!AK7</f>
        <v>0</v>
      </c>
      <c r="I234" s="147">
        <f>'KW 34'!AL7</f>
        <v>0</v>
      </c>
      <c r="J234" s="150">
        <f>'KW 34'!AM7</f>
        <v>0</v>
      </c>
      <c r="K234" s="153">
        <f>'KW 34'!AN7</f>
        <v>0</v>
      </c>
      <c r="L234" s="156">
        <f>'KW 34'!AO7</f>
        <v>0</v>
      </c>
      <c r="M234" s="159">
        <f>'KW 34'!AP7</f>
        <v>0</v>
      </c>
    </row>
    <row r="235" spans="4:13">
      <c r="D235" s="130" t="s">
        <v>349</v>
      </c>
      <c r="E235" s="135">
        <f>'KW 34'!AH8</f>
        <v>0</v>
      </c>
      <c r="F235" s="138">
        <f>'KW 34'!AI8</f>
        <v>0</v>
      </c>
      <c r="G235" s="141">
        <f>'KW 34'!AJ8</f>
        <v>0</v>
      </c>
      <c r="H235" s="144">
        <f>'KW 34'!AK8</f>
        <v>0</v>
      </c>
      <c r="I235" s="147">
        <f>'KW 34'!AL8</f>
        <v>0</v>
      </c>
      <c r="J235" s="150">
        <f>'KW 34'!AM8</f>
        <v>0</v>
      </c>
      <c r="K235" s="153">
        <f>'KW 34'!AN8</f>
        <v>0</v>
      </c>
      <c r="L235" s="156">
        <f>'KW 34'!AO8</f>
        <v>0</v>
      </c>
      <c r="M235" s="159">
        <f>'KW 34'!AP8</f>
        <v>0</v>
      </c>
    </row>
    <row r="236" spans="4:13">
      <c r="D236" s="130" t="s">
        <v>350</v>
      </c>
      <c r="E236" s="135">
        <f>'KW 34'!AH9</f>
        <v>0</v>
      </c>
      <c r="F236" s="138">
        <f>'KW 34'!AI9</f>
        <v>0</v>
      </c>
      <c r="G236" s="141">
        <f>'KW 34'!AJ9</f>
        <v>0</v>
      </c>
      <c r="H236" s="144">
        <f>'KW 34'!AK9</f>
        <v>0</v>
      </c>
      <c r="I236" s="147">
        <f>'KW 34'!AL9</f>
        <v>0</v>
      </c>
      <c r="J236" s="150">
        <f>'KW 34'!AM9</f>
        <v>0</v>
      </c>
      <c r="K236" s="153">
        <f>'KW 34'!AN9</f>
        <v>0</v>
      </c>
      <c r="L236" s="156">
        <f>'KW 34'!AO9</f>
        <v>0</v>
      </c>
      <c r="M236" s="159">
        <f>'KW 34'!AP9</f>
        <v>0</v>
      </c>
    </row>
    <row r="237" spans="4:13">
      <c r="D237" s="130" t="s">
        <v>351</v>
      </c>
      <c r="E237" s="135">
        <f>'KW 34'!AH10</f>
        <v>0</v>
      </c>
      <c r="F237" s="138">
        <f>'KW 34'!AI10</f>
        <v>0</v>
      </c>
      <c r="G237" s="141">
        <f>'KW 34'!AJ10</f>
        <v>0</v>
      </c>
      <c r="H237" s="144">
        <f>'KW 34'!AK10</f>
        <v>0</v>
      </c>
      <c r="I237" s="147">
        <f>'KW 34'!AL10</f>
        <v>0</v>
      </c>
      <c r="J237" s="150">
        <f>'KW 34'!AM10</f>
        <v>0</v>
      </c>
      <c r="K237" s="153">
        <f>'KW 34'!AN10</f>
        <v>0</v>
      </c>
      <c r="L237" s="156">
        <f>'KW 34'!AO10</f>
        <v>0</v>
      </c>
      <c r="M237" s="159">
        <f>'KW 34'!AP10</f>
        <v>0</v>
      </c>
    </row>
    <row r="238" spans="4:13">
      <c r="D238" s="130" t="s">
        <v>352</v>
      </c>
      <c r="E238" s="135">
        <f>'KW 34'!AH11</f>
        <v>0</v>
      </c>
      <c r="F238" s="138">
        <f>'KW 34'!AI11</f>
        <v>0</v>
      </c>
      <c r="G238" s="141">
        <f>'KW 34'!AJ11</f>
        <v>0</v>
      </c>
      <c r="H238" s="144">
        <f>'KW 34'!AK11</f>
        <v>0</v>
      </c>
      <c r="I238" s="147">
        <f>'KW 34'!AL11</f>
        <v>0</v>
      </c>
      <c r="J238" s="150">
        <f>'KW 34'!AM11</f>
        <v>0</v>
      </c>
      <c r="K238" s="153">
        <f>'KW 34'!AN11</f>
        <v>0</v>
      </c>
      <c r="L238" s="156">
        <f>'KW 34'!AO11</f>
        <v>0</v>
      </c>
      <c r="M238" s="159">
        <f>'KW 34'!AP11</f>
        <v>0</v>
      </c>
    </row>
    <row r="239" spans="4:13">
      <c r="D239" s="130" t="s">
        <v>353</v>
      </c>
      <c r="E239" s="135">
        <f>'KW 34'!AH5</f>
        <v>0</v>
      </c>
      <c r="F239" s="138">
        <f>'KW 34'!AI5</f>
        <v>0</v>
      </c>
      <c r="G239" s="141">
        <f>'KW 34'!AJ5</f>
        <v>0</v>
      </c>
      <c r="H239" s="144">
        <f>'KW 34'!AK5</f>
        <v>0</v>
      </c>
      <c r="I239" s="147">
        <f>'KW 34'!AL5</f>
        <v>0</v>
      </c>
      <c r="J239" s="150">
        <f>'KW 34'!AM5</f>
        <v>0</v>
      </c>
      <c r="K239" s="153">
        <f>'KW 34'!AN5</f>
        <v>0</v>
      </c>
      <c r="L239" s="156">
        <f>'KW 34'!AO5</f>
        <v>0</v>
      </c>
      <c r="M239" s="159">
        <f>'KW 34'!AP5</f>
        <v>0</v>
      </c>
    </row>
    <row r="240" spans="4:13">
      <c r="D240" s="130" t="s">
        <v>354</v>
      </c>
      <c r="E240" s="135">
        <f>'KW 34'!AH6</f>
        <v>0</v>
      </c>
      <c r="F240" s="138">
        <f>'KW 34'!AI6</f>
        <v>0</v>
      </c>
      <c r="G240" s="141">
        <f>'KW 34'!AJ6</f>
        <v>0</v>
      </c>
      <c r="H240" s="144">
        <f>'KW 34'!AK6</f>
        <v>0</v>
      </c>
      <c r="I240" s="147">
        <f>'KW 34'!AL6</f>
        <v>0</v>
      </c>
      <c r="J240" s="150">
        <f>'KW 34'!AM6</f>
        <v>0</v>
      </c>
      <c r="K240" s="153">
        <f>'KW 34'!AN6</f>
        <v>0</v>
      </c>
      <c r="L240" s="156">
        <f>'KW 34'!AO6</f>
        <v>0</v>
      </c>
      <c r="M240" s="159">
        <f>'KW 34'!AP6</f>
        <v>0</v>
      </c>
    </row>
    <row r="241" spans="4:13">
      <c r="D241" s="130" t="s">
        <v>355</v>
      </c>
      <c r="E241" s="135">
        <f>'KW 35'!AH7</f>
        <v>0</v>
      </c>
      <c r="F241" s="138">
        <f>'KW 35'!AI7</f>
        <v>0</v>
      </c>
      <c r="G241" s="141">
        <f>'KW 35'!AJ7</f>
        <v>0</v>
      </c>
      <c r="H241" s="144">
        <f>'KW 35'!AK7</f>
        <v>0</v>
      </c>
      <c r="I241" s="147">
        <f>'KW 35'!AL7</f>
        <v>0</v>
      </c>
      <c r="J241" s="150">
        <f>'KW 35'!AM7</f>
        <v>0</v>
      </c>
      <c r="K241" s="153">
        <f>'KW 35'!AN7</f>
        <v>0</v>
      </c>
      <c r="L241" s="156">
        <f>'KW 35'!AO7</f>
        <v>0</v>
      </c>
      <c r="M241" s="159">
        <f>'KW 35'!AP7</f>
        <v>0</v>
      </c>
    </row>
    <row r="242" spans="4:13">
      <c r="D242" s="130" t="s">
        <v>356</v>
      </c>
      <c r="E242" s="135">
        <f>'KW 35'!AH8</f>
        <v>0</v>
      </c>
      <c r="F242" s="138">
        <f>'KW 35'!AI8</f>
        <v>0</v>
      </c>
      <c r="G242" s="141">
        <f>'KW 35'!AJ8</f>
        <v>0</v>
      </c>
      <c r="H242" s="144">
        <f>'KW 35'!AK8</f>
        <v>0</v>
      </c>
      <c r="I242" s="147">
        <f>'KW 35'!AL8</f>
        <v>0</v>
      </c>
      <c r="J242" s="150">
        <f>'KW 35'!AM8</f>
        <v>0</v>
      </c>
      <c r="K242" s="153">
        <f>'KW 35'!AN8</f>
        <v>0</v>
      </c>
      <c r="L242" s="156">
        <f>'KW 35'!AO8</f>
        <v>0</v>
      </c>
      <c r="M242" s="159">
        <f>'KW 35'!AP8</f>
        <v>0</v>
      </c>
    </row>
    <row r="243" spans="4:13">
      <c r="D243" s="130" t="s">
        <v>357</v>
      </c>
      <c r="E243" s="135">
        <f>'KW 35'!AH9</f>
        <v>0</v>
      </c>
      <c r="F243" s="138">
        <f>'KW 35'!AI9</f>
        <v>0</v>
      </c>
      <c r="G243" s="141">
        <f>'KW 35'!AJ9</f>
        <v>0</v>
      </c>
      <c r="H243" s="144">
        <f>'KW 35'!AK9</f>
        <v>0</v>
      </c>
      <c r="I243" s="147">
        <f>'KW 35'!AL9</f>
        <v>0</v>
      </c>
      <c r="J243" s="150">
        <f>'KW 35'!AM9</f>
        <v>0</v>
      </c>
      <c r="K243" s="153">
        <f>'KW 35'!AN9</f>
        <v>0</v>
      </c>
      <c r="L243" s="156">
        <f>'KW 35'!AO9</f>
        <v>0</v>
      </c>
      <c r="M243" s="159">
        <f>'KW 35'!AP9</f>
        <v>0</v>
      </c>
    </row>
    <row r="244" spans="4:13">
      <c r="D244" s="130" t="s">
        <v>358</v>
      </c>
      <c r="E244" s="135">
        <f>'KW 35'!AH10</f>
        <v>0</v>
      </c>
      <c r="F244" s="138">
        <f>'KW 35'!AI10</f>
        <v>0</v>
      </c>
      <c r="G244" s="141">
        <f>'KW 35'!AJ10</f>
        <v>0</v>
      </c>
      <c r="H244" s="144">
        <f>'KW 35'!AK10</f>
        <v>0</v>
      </c>
      <c r="I244" s="147">
        <f>'KW 35'!AL10</f>
        <v>0</v>
      </c>
      <c r="J244" s="150">
        <f>'KW 35'!AM10</f>
        <v>0</v>
      </c>
      <c r="K244" s="153">
        <f>'KW 35'!AN10</f>
        <v>0</v>
      </c>
      <c r="L244" s="156">
        <f>'KW 35'!AO10</f>
        <v>0</v>
      </c>
      <c r="M244" s="159">
        <f>'KW 35'!AP10</f>
        <v>0</v>
      </c>
    </row>
    <row r="245" spans="4:13">
      <c r="D245" s="130" t="s">
        <v>359</v>
      </c>
      <c r="E245" s="135">
        <f>'KW 35'!AH11</f>
        <v>0</v>
      </c>
      <c r="F245" s="138">
        <f>'KW 35'!AI11</f>
        <v>0</v>
      </c>
      <c r="G245" s="141">
        <f>'KW 35'!AJ11</f>
        <v>0</v>
      </c>
      <c r="H245" s="144">
        <f>'KW 35'!AK11</f>
        <v>0</v>
      </c>
      <c r="I245" s="147">
        <f>'KW 35'!AL11</f>
        <v>0</v>
      </c>
      <c r="J245" s="150">
        <f>'KW 35'!AM11</f>
        <v>0</v>
      </c>
      <c r="K245" s="153">
        <f>'KW 35'!AN11</f>
        <v>0</v>
      </c>
      <c r="L245" s="156">
        <f>'KW 35'!AO11</f>
        <v>0</v>
      </c>
      <c r="M245" s="159">
        <f>'KW 35'!AP11</f>
        <v>0</v>
      </c>
    </row>
    <row r="246" spans="4:13">
      <c r="D246" s="127" t="s">
        <v>360</v>
      </c>
      <c r="E246" s="134">
        <f>'KW 35'!AH5</f>
        <v>0</v>
      </c>
      <c r="F246" s="137">
        <f>'KW 35'!AI5</f>
        <v>0</v>
      </c>
      <c r="G246" s="140">
        <f>'KW 35'!AJ5</f>
        <v>0</v>
      </c>
      <c r="H246" s="143">
        <f>'KW 35'!AK5</f>
        <v>0</v>
      </c>
      <c r="I246" s="146">
        <f>'KW 35'!AL5</f>
        <v>0</v>
      </c>
      <c r="J246" s="149">
        <f>'KW 35'!AM5</f>
        <v>0</v>
      </c>
      <c r="K246" s="152">
        <f>'KW 35'!AN5</f>
        <v>0</v>
      </c>
      <c r="L246" s="155">
        <f>'KW 35'!AO5</f>
        <v>0</v>
      </c>
      <c r="M246" s="158">
        <f>'KW 35'!AP5</f>
        <v>0</v>
      </c>
    </row>
    <row r="247" spans="4:13">
      <c r="D247" s="127" t="s">
        <v>361</v>
      </c>
      <c r="E247" s="134">
        <f>'KW 35'!AH6</f>
        <v>0</v>
      </c>
      <c r="F247" s="137">
        <f>'KW 35'!AI6</f>
        <v>0</v>
      </c>
      <c r="G247" s="140">
        <f>'KW 35'!AJ6</f>
        <v>0</v>
      </c>
      <c r="H247" s="143">
        <f>'KW 35'!AK6</f>
        <v>0</v>
      </c>
      <c r="I247" s="146">
        <f>'KW 35'!AL6</f>
        <v>0</v>
      </c>
      <c r="J247" s="149">
        <f>'KW 35'!AM6</f>
        <v>0</v>
      </c>
      <c r="K247" s="152">
        <f>'KW 35'!AN6</f>
        <v>0</v>
      </c>
      <c r="L247" s="155">
        <f>'KW 35'!AO6</f>
        <v>0</v>
      </c>
      <c r="M247" s="158">
        <f>'KW 35'!AP6</f>
        <v>0</v>
      </c>
    </row>
    <row r="248" spans="4:13">
      <c r="D248" s="127" t="s">
        <v>362</v>
      </c>
      <c r="E248" s="134">
        <f>'KW 36'!AH7</f>
        <v>0</v>
      </c>
      <c r="F248" s="137">
        <f>'KW 36'!AI7</f>
        <v>0</v>
      </c>
      <c r="G248" s="140">
        <f>'KW 36'!AJ7</f>
        <v>0</v>
      </c>
      <c r="H248" s="143">
        <f>'KW 36'!AK7</f>
        <v>0</v>
      </c>
      <c r="I248" s="146">
        <f>'KW 36'!AL7</f>
        <v>0</v>
      </c>
      <c r="J248" s="149">
        <f>'KW 36'!AM7</f>
        <v>0</v>
      </c>
      <c r="K248" s="152">
        <f>'KW 36'!AN7</f>
        <v>0</v>
      </c>
      <c r="L248" s="155">
        <f>'KW 36'!AO7</f>
        <v>0</v>
      </c>
      <c r="M248" s="158">
        <f>'KW 36'!AP7</f>
        <v>0</v>
      </c>
    </row>
    <row r="249" spans="4:13">
      <c r="D249" s="127" t="s">
        <v>363</v>
      </c>
      <c r="E249" s="134">
        <f>'KW 36'!AH8</f>
        <v>0</v>
      </c>
      <c r="F249" s="137">
        <f>'KW 36'!AI8</f>
        <v>0</v>
      </c>
      <c r="G249" s="140">
        <f>'KW 36'!AJ8</f>
        <v>0</v>
      </c>
      <c r="H249" s="143">
        <f>'KW 36'!AK8</f>
        <v>0</v>
      </c>
      <c r="I249" s="146">
        <f>'KW 36'!AL8</f>
        <v>0</v>
      </c>
      <c r="J249" s="149">
        <f>'KW 36'!AM8</f>
        <v>0</v>
      </c>
      <c r="K249" s="152">
        <f>'KW 36'!AN8</f>
        <v>0</v>
      </c>
      <c r="L249" s="155">
        <f>'KW 36'!AO8</f>
        <v>0</v>
      </c>
      <c r="M249" s="158">
        <f>'KW 36'!AP8</f>
        <v>0</v>
      </c>
    </row>
    <row r="250" spans="4:13">
      <c r="D250" s="127" t="s">
        <v>364</v>
      </c>
      <c r="E250" s="134">
        <f>'KW 36'!AH9</f>
        <v>0</v>
      </c>
      <c r="F250" s="137">
        <f>'KW 36'!AI9</f>
        <v>0</v>
      </c>
      <c r="G250" s="140">
        <f>'KW 36'!AJ9</f>
        <v>0</v>
      </c>
      <c r="H250" s="143">
        <f>'KW 36'!AK9</f>
        <v>0</v>
      </c>
      <c r="I250" s="146">
        <f>'KW 36'!AL9</f>
        <v>0</v>
      </c>
      <c r="J250" s="149">
        <f>'KW 36'!AM9</f>
        <v>0</v>
      </c>
      <c r="K250" s="152">
        <f>'KW 36'!AN9</f>
        <v>0</v>
      </c>
      <c r="L250" s="155">
        <f>'KW 36'!AO9</f>
        <v>0</v>
      </c>
      <c r="M250" s="158">
        <f>'KW 36'!AP9</f>
        <v>0</v>
      </c>
    </row>
    <row r="251" spans="4:13">
      <c r="D251" s="127" t="s">
        <v>365</v>
      </c>
      <c r="E251" s="134">
        <f>'KW 36'!AH10</f>
        <v>0</v>
      </c>
      <c r="F251" s="137">
        <f>'KW 36'!AI10</f>
        <v>0</v>
      </c>
      <c r="G251" s="140">
        <f>'KW 36'!AJ10</f>
        <v>0</v>
      </c>
      <c r="H251" s="143">
        <f>'KW 36'!AK10</f>
        <v>0</v>
      </c>
      <c r="I251" s="146">
        <f>'KW 36'!AL10</f>
        <v>0</v>
      </c>
      <c r="J251" s="149">
        <f>'KW 36'!AM10</f>
        <v>0</v>
      </c>
      <c r="K251" s="152">
        <f>'KW 36'!AN10</f>
        <v>0</v>
      </c>
      <c r="L251" s="155">
        <f>'KW 36'!AO10</f>
        <v>0</v>
      </c>
      <c r="M251" s="158">
        <f>'KW 36'!AP10</f>
        <v>0</v>
      </c>
    </row>
    <row r="252" spans="4:13">
      <c r="D252" s="127" t="s">
        <v>366</v>
      </c>
      <c r="E252" s="134">
        <f>'KW 36'!AH11</f>
        <v>0</v>
      </c>
      <c r="F252" s="137">
        <f>'KW 36'!AI11</f>
        <v>0</v>
      </c>
      <c r="G252" s="140">
        <f>'KW 36'!AJ11</f>
        <v>0</v>
      </c>
      <c r="H252" s="143">
        <f>'KW 36'!AK11</f>
        <v>0</v>
      </c>
      <c r="I252" s="146">
        <f>'KW 36'!AL11</f>
        <v>0</v>
      </c>
      <c r="J252" s="149">
        <f>'KW 36'!AM11</f>
        <v>0</v>
      </c>
      <c r="K252" s="152">
        <f>'KW 36'!AN11</f>
        <v>0</v>
      </c>
      <c r="L252" s="155">
        <f>'KW 36'!AO11</f>
        <v>0</v>
      </c>
      <c r="M252" s="158">
        <f>'KW 36'!AP11</f>
        <v>0</v>
      </c>
    </row>
    <row r="253" spans="4:13">
      <c r="D253" s="127" t="s">
        <v>367</v>
      </c>
      <c r="E253" s="134">
        <f>'KW 36'!AH5</f>
        <v>0</v>
      </c>
      <c r="F253" s="137">
        <f>'KW 36'!AI5</f>
        <v>0</v>
      </c>
      <c r="G253" s="140">
        <f>'KW 36'!AJ5</f>
        <v>0</v>
      </c>
      <c r="H253" s="143">
        <f>'KW 36'!AK5</f>
        <v>0</v>
      </c>
      <c r="I253" s="146">
        <f>'KW 36'!AL5</f>
        <v>0</v>
      </c>
      <c r="J253" s="149">
        <f>'KW 36'!AM5</f>
        <v>0</v>
      </c>
      <c r="K253" s="152">
        <f>'KW 36'!AN5</f>
        <v>0</v>
      </c>
      <c r="L253" s="155">
        <f>'KW 36'!AO5</f>
        <v>0</v>
      </c>
      <c r="M253" s="158">
        <f>'KW 36'!AP5</f>
        <v>0</v>
      </c>
    </row>
    <row r="254" spans="4:13">
      <c r="D254" s="127" t="s">
        <v>368</v>
      </c>
      <c r="E254" s="134">
        <f>'KW 36'!AH6</f>
        <v>0</v>
      </c>
      <c r="F254" s="137">
        <f>'KW 36'!AI6</f>
        <v>0</v>
      </c>
      <c r="G254" s="140">
        <f>'KW 36'!AJ6</f>
        <v>0</v>
      </c>
      <c r="H254" s="143">
        <f>'KW 36'!AK6</f>
        <v>0</v>
      </c>
      <c r="I254" s="146">
        <f>'KW 36'!AL6</f>
        <v>0</v>
      </c>
      <c r="J254" s="149">
        <f>'KW 36'!AM6</f>
        <v>0</v>
      </c>
      <c r="K254" s="152">
        <f>'KW 36'!AN6</f>
        <v>0</v>
      </c>
      <c r="L254" s="155">
        <f>'KW 36'!AO6</f>
        <v>0</v>
      </c>
      <c r="M254" s="158">
        <f>'KW 36'!AP6</f>
        <v>0</v>
      </c>
    </row>
    <row r="255" spans="4:13">
      <c r="D255" s="127" t="s">
        <v>369</v>
      </c>
      <c r="E255" s="134">
        <f>'KW 37'!AH7</f>
        <v>0</v>
      </c>
      <c r="F255" s="137">
        <f>'KW 37'!AI7</f>
        <v>0</v>
      </c>
      <c r="G255" s="140">
        <f>'KW 37'!AJ7</f>
        <v>0</v>
      </c>
      <c r="H255" s="143">
        <f>'KW 37'!AK7</f>
        <v>0</v>
      </c>
      <c r="I255" s="146">
        <f>'KW 37'!AL7</f>
        <v>0</v>
      </c>
      <c r="J255" s="149">
        <f>'KW 37'!AM7</f>
        <v>0</v>
      </c>
      <c r="K255" s="152">
        <f>'KW 37'!AN7</f>
        <v>0</v>
      </c>
      <c r="L255" s="155">
        <f>'KW 37'!AO7</f>
        <v>0</v>
      </c>
      <c r="M255" s="158">
        <f>'KW 37'!AP7</f>
        <v>0</v>
      </c>
    </row>
    <row r="256" spans="4:13">
      <c r="D256" s="127" t="s">
        <v>370</v>
      </c>
      <c r="E256" s="134">
        <f>'KW 37'!AH8</f>
        <v>0</v>
      </c>
      <c r="F256" s="137">
        <f>'KW 37'!AI8</f>
        <v>0</v>
      </c>
      <c r="G256" s="140">
        <f>'KW 37'!AJ8</f>
        <v>0</v>
      </c>
      <c r="H256" s="143">
        <f>'KW 37'!AK8</f>
        <v>0</v>
      </c>
      <c r="I256" s="146">
        <f>'KW 37'!AL8</f>
        <v>0</v>
      </c>
      <c r="J256" s="149">
        <f>'KW 37'!AM8</f>
        <v>0</v>
      </c>
      <c r="K256" s="152">
        <f>'KW 37'!AN8</f>
        <v>0</v>
      </c>
      <c r="L256" s="155">
        <f>'KW 37'!AO8</f>
        <v>0</v>
      </c>
      <c r="M256" s="158">
        <f>'KW 37'!AP8</f>
        <v>0</v>
      </c>
    </row>
    <row r="257" spans="4:13">
      <c r="D257" s="127" t="s">
        <v>371</v>
      </c>
      <c r="E257" s="134">
        <f>'KW 37'!AH9</f>
        <v>0</v>
      </c>
      <c r="F257" s="137">
        <f>'KW 37'!AI9</f>
        <v>0</v>
      </c>
      <c r="G257" s="140">
        <f>'KW 37'!AJ9</f>
        <v>0</v>
      </c>
      <c r="H257" s="143">
        <f>'KW 37'!AK9</f>
        <v>0</v>
      </c>
      <c r="I257" s="146">
        <f>'KW 37'!AL9</f>
        <v>0</v>
      </c>
      <c r="J257" s="149">
        <f>'KW 37'!AM9</f>
        <v>0</v>
      </c>
      <c r="K257" s="152">
        <f>'KW 37'!AN9</f>
        <v>0</v>
      </c>
      <c r="L257" s="155">
        <f>'KW 37'!AO9</f>
        <v>0</v>
      </c>
      <c r="M257" s="158">
        <f>'KW 37'!AP9</f>
        <v>0</v>
      </c>
    </row>
    <row r="258" spans="4:13">
      <c r="D258" s="127" t="s">
        <v>372</v>
      </c>
      <c r="E258" s="134">
        <f>'KW 37'!AH10</f>
        <v>0</v>
      </c>
      <c r="F258" s="137">
        <f>'KW 37'!AI10</f>
        <v>0</v>
      </c>
      <c r="G258" s="140">
        <f>'KW 37'!AJ10</f>
        <v>0</v>
      </c>
      <c r="H258" s="143">
        <f>'KW 37'!AK10</f>
        <v>0</v>
      </c>
      <c r="I258" s="146">
        <f>'KW 37'!AL10</f>
        <v>0</v>
      </c>
      <c r="J258" s="149">
        <f>'KW 37'!AM10</f>
        <v>0</v>
      </c>
      <c r="K258" s="152">
        <f>'KW 37'!AN10</f>
        <v>0</v>
      </c>
      <c r="L258" s="155">
        <f>'KW 37'!AO10</f>
        <v>0</v>
      </c>
      <c r="M258" s="158">
        <f>'KW 37'!AP10</f>
        <v>0</v>
      </c>
    </row>
    <row r="259" spans="4:13">
      <c r="D259" s="127" t="s">
        <v>373</v>
      </c>
      <c r="E259" s="134">
        <f>'KW 37'!AH11</f>
        <v>0</v>
      </c>
      <c r="F259" s="137">
        <f>'KW 37'!AI11</f>
        <v>0</v>
      </c>
      <c r="G259" s="140">
        <f>'KW 37'!AJ11</f>
        <v>0</v>
      </c>
      <c r="H259" s="143">
        <f>'KW 37'!AK11</f>
        <v>0</v>
      </c>
      <c r="I259" s="146">
        <f>'KW 37'!AL11</f>
        <v>0</v>
      </c>
      <c r="J259" s="149">
        <f>'KW 37'!AM11</f>
        <v>0</v>
      </c>
      <c r="K259" s="152">
        <f>'KW 37'!AN11</f>
        <v>0</v>
      </c>
      <c r="L259" s="155">
        <f>'KW 37'!AO11</f>
        <v>0</v>
      </c>
      <c r="M259" s="158">
        <f>'KW 37'!AP11</f>
        <v>0</v>
      </c>
    </row>
    <row r="260" spans="4:13">
      <c r="D260" s="127" t="s">
        <v>374</v>
      </c>
      <c r="E260" s="134">
        <f>'KW 37'!AH5</f>
        <v>0</v>
      </c>
      <c r="F260" s="137">
        <f>'KW 37'!AI5</f>
        <v>0</v>
      </c>
      <c r="G260" s="140">
        <f>'KW 37'!AJ5</f>
        <v>0</v>
      </c>
      <c r="H260" s="143">
        <f>'KW 37'!AK5</f>
        <v>0</v>
      </c>
      <c r="I260" s="146">
        <f>'KW 37'!AL5</f>
        <v>0</v>
      </c>
      <c r="J260" s="149">
        <f>'KW 37'!AM5</f>
        <v>0</v>
      </c>
      <c r="K260" s="152">
        <f>'KW 37'!AN5</f>
        <v>0</v>
      </c>
      <c r="L260" s="155">
        <f>'KW 37'!AO5</f>
        <v>0</v>
      </c>
      <c r="M260" s="158">
        <f>'KW 37'!AP5</f>
        <v>0</v>
      </c>
    </row>
    <row r="261" spans="4:13">
      <c r="D261" s="127" t="s">
        <v>375</v>
      </c>
      <c r="E261" s="134">
        <f>'KW 37'!AH6</f>
        <v>0</v>
      </c>
      <c r="F261" s="137">
        <f>'KW 37'!AI6</f>
        <v>0</v>
      </c>
      <c r="G261" s="140">
        <f>'KW 37'!AJ6</f>
        <v>0</v>
      </c>
      <c r="H261" s="143">
        <f>'KW 37'!AK6</f>
        <v>0</v>
      </c>
      <c r="I261" s="146">
        <f>'KW 37'!AL6</f>
        <v>0</v>
      </c>
      <c r="J261" s="149">
        <f>'KW 37'!AM6</f>
        <v>0</v>
      </c>
      <c r="K261" s="152">
        <f>'KW 37'!AN6</f>
        <v>0</v>
      </c>
      <c r="L261" s="155">
        <f>'KW 37'!AO6</f>
        <v>0</v>
      </c>
      <c r="M261" s="158">
        <f>'KW 37'!AP6</f>
        <v>0</v>
      </c>
    </row>
    <row r="262" spans="4:13">
      <c r="D262" s="127" t="s">
        <v>376</v>
      </c>
      <c r="E262" s="134">
        <f>'KW 38'!AH7</f>
        <v>0</v>
      </c>
      <c r="F262" s="137">
        <f>'KW 38'!AI7</f>
        <v>0</v>
      </c>
      <c r="G262" s="140">
        <f>'KW 38'!AJ7</f>
        <v>0</v>
      </c>
      <c r="H262" s="143">
        <f>'KW 38'!AK7</f>
        <v>0</v>
      </c>
      <c r="I262" s="146">
        <f>'KW 38'!AL7</f>
        <v>0</v>
      </c>
      <c r="J262" s="149">
        <f>'KW 38'!AM7</f>
        <v>0</v>
      </c>
      <c r="K262" s="152">
        <f>'KW 38'!AN7</f>
        <v>0</v>
      </c>
      <c r="L262" s="155">
        <f>'KW 38'!AO7</f>
        <v>0</v>
      </c>
      <c r="M262" s="158">
        <f>'KW 38'!AP7</f>
        <v>0</v>
      </c>
    </row>
    <row r="263" spans="4:13">
      <c r="D263" s="127" t="s">
        <v>377</v>
      </c>
      <c r="E263" s="134">
        <f>'KW 38'!AH8</f>
        <v>0</v>
      </c>
      <c r="F263" s="137">
        <f>'KW 38'!AI8</f>
        <v>0</v>
      </c>
      <c r="G263" s="140">
        <f>'KW 38'!AJ8</f>
        <v>0</v>
      </c>
      <c r="H263" s="143">
        <f>'KW 38'!AK8</f>
        <v>0</v>
      </c>
      <c r="I263" s="146">
        <f>'KW 38'!AL8</f>
        <v>0</v>
      </c>
      <c r="J263" s="149">
        <f>'KW 38'!AM8</f>
        <v>0</v>
      </c>
      <c r="K263" s="152">
        <f>'KW 38'!AN8</f>
        <v>0</v>
      </c>
      <c r="L263" s="155">
        <f>'KW 38'!AO8</f>
        <v>0</v>
      </c>
      <c r="M263" s="158">
        <f>'KW 38'!AP8</f>
        <v>0</v>
      </c>
    </row>
    <row r="264" spans="4:13">
      <c r="D264" s="127" t="s">
        <v>378</v>
      </c>
      <c r="E264" s="134">
        <f>'KW 38'!AH9</f>
        <v>0</v>
      </c>
      <c r="F264" s="137">
        <f>'KW 38'!AI9</f>
        <v>0</v>
      </c>
      <c r="G264" s="140">
        <f>'KW 38'!AJ9</f>
        <v>0</v>
      </c>
      <c r="H264" s="143">
        <f>'KW 38'!AK9</f>
        <v>0</v>
      </c>
      <c r="I264" s="146">
        <f>'KW 38'!AL9</f>
        <v>0</v>
      </c>
      <c r="J264" s="149">
        <f>'KW 38'!AM9</f>
        <v>0</v>
      </c>
      <c r="K264" s="152">
        <f>'KW 38'!AN9</f>
        <v>0</v>
      </c>
      <c r="L264" s="155">
        <f>'KW 38'!AO9</f>
        <v>0</v>
      </c>
      <c r="M264" s="158">
        <f>'KW 38'!AP9</f>
        <v>0</v>
      </c>
    </row>
    <row r="265" spans="4:13">
      <c r="D265" s="127" t="s">
        <v>379</v>
      </c>
      <c r="E265" s="134">
        <f>'KW 38'!AH10</f>
        <v>0</v>
      </c>
      <c r="F265" s="137">
        <f>'KW 38'!AI10</f>
        <v>0</v>
      </c>
      <c r="G265" s="140">
        <f>'KW 38'!AJ10</f>
        <v>0</v>
      </c>
      <c r="H265" s="143">
        <f>'KW 38'!AK10</f>
        <v>0</v>
      </c>
      <c r="I265" s="146">
        <f>'KW 38'!AL10</f>
        <v>0</v>
      </c>
      <c r="J265" s="149">
        <f>'KW 38'!AM10</f>
        <v>0</v>
      </c>
      <c r="K265" s="152">
        <f>'KW 38'!AN10</f>
        <v>0</v>
      </c>
      <c r="L265" s="155">
        <f>'KW 38'!AO10</f>
        <v>0</v>
      </c>
      <c r="M265" s="158">
        <f>'KW 38'!AP10</f>
        <v>0</v>
      </c>
    </row>
    <row r="266" spans="4:13">
      <c r="D266" s="127" t="s">
        <v>380</v>
      </c>
      <c r="E266" s="134">
        <f>'KW 38'!AH11</f>
        <v>0</v>
      </c>
      <c r="F266" s="137">
        <f>'KW 38'!AI11</f>
        <v>0</v>
      </c>
      <c r="G266" s="140">
        <f>'KW 38'!AJ11</f>
        <v>0</v>
      </c>
      <c r="H266" s="143">
        <f>'KW 38'!AK11</f>
        <v>0</v>
      </c>
      <c r="I266" s="146">
        <f>'KW 38'!AL11</f>
        <v>0</v>
      </c>
      <c r="J266" s="149">
        <f>'KW 38'!AM11</f>
        <v>0</v>
      </c>
      <c r="K266" s="152">
        <f>'KW 38'!AN11</f>
        <v>0</v>
      </c>
      <c r="L266" s="155">
        <f>'KW 38'!AO11</f>
        <v>0</v>
      </c>
      <c r="M266" s="158">
        <f>'KW 38'!AP11</f>
        <v>0</v>
      </c>
    </row>
    <row r="267" spans="4:13">
      <c r="D267" s="127" t="s">
        <v>381</v>
      </c>
      <c r="E267" s="134">
        <f>'KW 38'!AH5</f>
        <v>0</v>
      </c>
      <c r="F267" s="137">
        <f>'KW 38'!AI5</f>
        <v>0</v>
      </c>
      <c r="G267" s="140">
        <f>'KW 38'!AJ5</f>
        <v>0</v>
      </c>
      <c r="H267" s="143">
        <f>'KW 38'!AK5</f>
        <v>0</v>
      </c>
      <c r="I267" s="146">
        <f>'KW 38'!AL5</f>
        <v>0</v>
      </c>
      <c r="J267" s="149">
        <f>'KW 38'!AM5</f>
        <v>0</v>
      </c>
      <c r="K267" s="152">
        <f>'KW 38'!AN5</f>
        <v>0</v>
      </c>
      <c r="L267" s="155">
        <f>'KW 38'!AO5</f>
        <v>0</v>
      </c>
      <c r="M267" s="158">
        <f>'KW 38'!AP5</f>
        <v>0</v>
      </c>
    </row>
    <row r="268" spans="4:13">
      <c r="D268" s="127" t="s">
        <v>382</v>
      </c>
      <c r="E268" s="134">
        <f>'KW 38'!AH6</f>
        <v>0</v>
      </c>
      <c r="F268" s="137">
        <f>'KW 38'!AI6</f>
        <v>0</v>
      </c>
      <c r="G268" s="140">
        <f>'KW 38'!AJ6</f>
        <v>0</v>
      </c>
      <c r="H268" s="143">
        <f>'KW 38'!AK6</f>
        <v>0</v>
      </c>
      <c r="I268" s="146">
        <f>'KW 38'!AL6</f>
        <v>0</v>
      </c>
      <c r="J268" s="149">
        <f>'KW 38'!AM6</f>
        <v>0</v>
      </c>
      <c r="K268" s="152">
        <f>'KW 38'!AN6</f>
        <v>0</v>
      </c>
      <c r="L268" s="155">
        <f>'KW 38'!AO6</f>
        <v>0</v>
      </c>
      <c r="M268" s="158">
        <f>'KW 38'!AP6</f>
        <v>0</v>
      </c>
    </row>
    <row r="269" spans="4:13">
      <c r="D269" s="127" t="s">
        <v>383</v>
      </c>
      <c r="E269" s="134">
        <f>'KW 39'!AH7</f>
        <v>0</v>
      </c>
      <c r="F269" s="137">
        <f>'KW 39'!AI7</f>
        <v>0</v>
      </c>
      <c r="G269" s="140">
        <f>'KW 39'!AJ7</f>
        <v>0</v>
      </c>
      <c r="H269" s="143">
        <f>'KW 39'!AK7</f>
        <v>0</v>
      </c>
      <c r="I269" s="146">
        <f>'KW 39'!AL7</f>
        <v>0</v>
      </c>
      <c r="J269" s="149">
        <f>'KW 39'!AM7</f>
        <v>0</v>
      </c>
      <c r="K269" s="152">
        <f>'KW 39'!AN7</f>
        <v>0</v>
      </c>
      <c r="L269" s="155">
        <f>'KW 39'!AO7</f>
        <v>0</v>
      </c>
      <c r="M269" s="158">
        <f>'KW 39'!AP7</f>
        <v>0</v>
      </c>
    </row>
    <row r="270" spans="4:13">
      <c r="D270" s="127" t="s">
        <v>384</v>
      </c>
      <c r="E270" s="134">
        <f>'KW 39'!AH8</f>
        <v>0</v>
      </c>
      <c r="F270" s="137">
        <f>'KW 39'!AI8</f>
        <v>0</v>
      </c>
      <c r="G270" s="140">
        <f>'KW 39'!AJ8</f>
        <v>0</v>
      </c>
      <c r="H270" s="143">
        <f>'KW 39'!AK8</f>
        <v>0</v>
      </c>
      <c r="I270" s="146">
        <f>'KW 39'!AL8</f>
        <v>0</v>
      </c>
      <c r="J270" s="149">
        <f>'KW 39'!AM8</f>
        <v>0</v>
      </c>
      <c r="K270" s="152">
        <f>'KW 39'!AN8</f>
        <v>0</v>
      </c>
      <c r="L270" s="155">
        <f>'KW 39'!AO8</f>
        <v>0</v>
      </c>
      <c r="M270" s="158">
        <f>'KW 39'!AP8</f>
        <v>0</v>
      </c>
    </row>
    <row r="271" spans="4:13">
      <c r="D271" s="127" t="s">
        <v>385</v>
      </c>
      <c r="E271" s="134">
        <f>'KW 39'!AH9</f>
        <v>0</v>
      </c>
      <c r="F271" s="137">
        <f>'KW 39'!AI9</f>
        <v>0</v>
      </c>
      <c r="G271" s="140">
        <f>'KW 39'!AJ9</f>
        <v>0</v>
      </c>
      <c r="H271" s="143">
        <f>'KW 39'!AK9</f>
        <v>0</v>
      </c>
      <c r="I271" s="146">
        <f>'KW 39'!AL9</f>
        <v>0</v>
      </c>
      <c r="J271" s="149">
        <f>'KW 39'!AM9</f>
        <v>0</v>
      </c>
      <c r="K271" s="152">
        <f>'KW 39'!AN9</f>
        <v>0</v>
      </c>
      <c r="L271" s="155">
        <f>'KW 39'!AO9</f>
        <v>0</v>
      </c>
      <c r="M271" s="158">
        <f>'KW 39'!AP9</f>
        <v>0</v>
      </c>
    </row>
    <row r="272" spans="4:13">
      <c r="D272" s="127" t="s">
        <v>386</v>
      </c>
      <c r="E272" s="134">
        <f>'KW 39'!AH10</f>
        <v>0</v>
      </c>
      <c r="F272" s="137">
        <f>'KW 39'!AI10</f>
        <v>0</v>
      </c>
      <c r="G272" s="140">
        <f>'KW 39'!AJ10</f>
        <v>0</v>
      </c>
      <c r="H272" s="143">
        <f>'KW 39'!AK10</f>
        <v>0</v>
      </c>
      <c r="I272" s="146">
        <f>'KW 39'!AL10</f>
        <v>0</v>
      </c>
      <c r="J272" s="149">
        <f>'KW 39'!AM10</f>
        <v>0</v>
      </c>
      <c r="K272" s="152">
        <f>'KW 39'!AN10</f>
        <v>0</v>
      </c>
      <c r="L272" s="155">
        <f>'KW 39'!AO10</f>
        <v>0</v>
      </c>
      <c r="M272" s="158">
        <f>'KW 39'!AP10</f>
        <v>0</v>
      </c>
    </row>
    <row r="273" spans="4:13">
      <c r="D273" s="127" t="s">
        <v>387</v>
      </c>
      <c r="E273" s="134">
        <f>'KW 39'!AH11</f>
        <v>0</v>
      </c>
      <c r="F273" s="137">
        <f>'KW 39'!AI11</f>
        <v>0</v>
      </c>
      <c r="G273" s="140">
        <f>'KW 39'!AJ11</f>
        <v>0</v>
      </c>
      <c r="H273" s="143">
        <f>'KW 39'!AK11</f>
        <v>0</v>
      </c>
      <c r="I273" s="146">
        <f>'KW 39'!AL11</f>
        <v>0</v>
      </c>
      <c r="J273" s="149">
        <f>'KW 39'!AM11</f>
        <v>0</v>
      </c>
      <c r="K273" s="152">
        <f>'KW 39'!AN11</f>
        <v>0</v>
      </c>
      <c r="L273" s="155">
        <f>'KW 39'!AO11</f>
        <v>0</v>
      </c>
      <c r="M273" s="158">
        <f>'KW 39'!AP11</f>
        <v>0</v>
      </c>
    </row>
    <row r="274" spans="4:13">
      <c r="D274" s="127" t="s">
        <v>388</v>
      </c>
      <c r="E274" s="134">
        <f>'KW 39'!AH5</f>
        <v>0</v>
      </c>
      <c r="F274" s="137">
        <f>'KW 39'!AI5</f>
        <v>0</v>
      </c>
      <c r="G274" s="140">
        <f>'KW 39'!AJ5</f>
        <v>0</v>
      </c>
      <c r="H274" s="143">
        <f>'KW 39'!AK5</f>
        <v>0</v>
      </c>
      <c r="I274" s="146">
        <f>'KW 39'!AL5</f>
        <v>0</v>
      </c>
      <c r="J274" s="149">
        <f>'KW 39'!AM5</f>
        <v>0</v>
      </c>
      <c r="K274" s="152">
        <f>'KW 39'!AN5</f>
        <v>0</v>
      </c>
      <c r="L274" s="155">
        <f>'KW 39'!AO5</f>
        <v>0</v>
      </c>
      <c r="M274" s="158">
        <f>'KW 39'!AP5</f>
        <v>0</v>
      </c>
    </row>
    <row r="275" spans="4:13">
      <c r="D275" s="127" t="s">
        <v>389</v>
      </c>
      <c r="E275" s="134">
        <f>'KW 39'!AH6</f>
        <v>0</v>
      </c>
      <c r="F275" s="137">
        <f>'KW 39'!AI6</f>
        <v>0</v>
      </c>
      <c r="G275" s="140">
        <f>'KW 39'!AJ6</f>
        <v>0</v>
      </c>
      <c r="H275" s="143">
        <f>'KW 39'!AK6</f>
        <v>0</v>
      </c>
      <c r="I275" s="146">
        <f>'KW 39'!AL6</f>
        <v>0</v>
      </c>
      <c r="J275" s="149">
        <f>'KW 39'!AM6</f>
        <v>0</v>
      </c>
      <c r="K275" s="152">
        <f>'KW 39'!AN6</f>
        <v>0</v>
      </c>
      <c r="L275" s="155">
        <f>'KW 39'!AO6</f>
        <v>0</v>
      </c>
      <c r="M275" s="158">
        <f>'KW 39'!AP6</f>
        <v>0</v>
      </c>
    </row>
    <row r="276" spans="4:13">
      <c r="D276" s="130" t="s">
        <v>390</v>
      </c>
      <c r="E276" s="135">
        <f>'KW 40'!AH7</f>
        <v>0</v>
      </c>
      <c r="F276" s="138">
        <f>'KW 40'!AI7</f>
        <v>0</v>
      </c>
      <c r="G276" s="141">
        <f>'KW 40'!AJ7</f>
        <v>0</v>
      </c>
      <c r="H276" s="144">
        <f>'KW 40'!AK7</f>
        <v>0</v>
      </c>
      <c r="I276" s="147">
        <f>'KW 40'!AL7</f>
        <v>0</v>
      </c>
      <c r="J276" s="150">
        <f>'KW 40'!AM7</f>
        <v>0</v>
      </c>
      <c r="K276" s="153">
        <f>'KW 40'!AN7</f>
        <v>0</v>
      </c>
      <c r="L276" s="156">
        <f>'KW 40'!AO7</f>
        <v>0</v>
      </c>
      <c r="M276" s="159">
        <f>'KW 40'!AP7</f>
        <v>0</v>
      </c>
    </row>
    <row r="277" spans="4:13">
      <c r="D277" s="130" t="s">
        <v>391</v>
      </c>
      <c r="E277" s="135">
        <f>'KW 40'!AH8</f>
        <v>0</v>
      </c>
      <c r="F277" s="138">
        <f>'KW 40'!AI8</f>
        <v>0</v>
      </c>
      <c r="G277" s="141">
        <f>'KW 40'!AJ8</f>
        <v>0</v>
      </c>
      <c r="H277" s="144">
        <f>'KW 40'!AK8</f>
        <v>0</v>
      </c>
      <c r="I277" s="147">
        <f>'KW 40'!AL8</f>
        <v>0</v>
      </c>
      <c r="J277" s="150">
        <f>'KW 40'!AM8</f>
        <v>0</v>
      </c>
      <c r="K277" s="153">
        <f>'KW 40'!AN8</f>
        <v>0</v>
      </c>
      <c r="L277" s="156">
        <f>'KW 40'!AO8</f>
        <v>0</v>
      </c>
      <c r="M277" s="159">
        <f>'KW 40'!AP8</f>
        <v>0</v>
      </c>
    </row>
    <row r="278" spans="4:13">
      <c r="D278" s="130" t="s">
        <v>392</v>
      </c>
      <c r="E278" s="135">
        <f>'KW 40'!AH9</f>
        <v>0</v>
      </c>
      <c r="F278" s="138">
        <f>'KW 40'!AI9</f>
        <v>0</v>
      </c>
      <c r="G278" s="141">
        <f>'KW 40'!AJ9</f>
        <v>0</v>
      </c>
      <c r="H278" s="144">
        <f>'KW 40'!AK9</f>
        <v>0</v>
      </c>
      <c r="I278" s="147">
        <f>'KW 40'!AL9</f>
        <v>0</v>
      </c>
      <c r="J278" s="150">
        <f>'KW 40'!AM9</f>
        <v>0</v>
      </c>
      <c r="K278" s="153">
        <f>'KW 40'!AN9</f>
        <v>0</v>
      </c>
      <c r="L278" s="156">
        <f>'KW 40'!AO9</f>
        <v>0</v>
      </c>
      <c r="M278" s="159">
        <f>'KW 40'!AP9</f>
        <v>0</v>
      </c>
    </row>
    <row r="279" spans="4:13">
      <c r="D279" s="130" t="s">
        <v>393</v>
      </c>
      <c r="E279" s="135">
        <f>'KW 40'!AH10</f>
        <v>0</v>
      </c>
      <c r="F279" s="138">
        <f>'KW 40'!AI10</f>
        <v>0</v>
      </c>
      <c r="G279" s="141">
        <f>'KW 40'!AJ10</f>
        <v>0</v>
      </c>
      <c r="H279" s="144">
        <f>'KW 40'!AK10</f>
        <v>0</v>
      </c>
      <c r="I279" s="147">
        <f>'KW 40'!AL10</f>
        <v>0</v>
      </c>
      <c r="J279" s="150">
        <f>'KW 40'!AM10</f>
        <v>0</v>
      </c>
      <c r="K279" s="153">
        <f>'KW 40'!AN10</f>
        <v>0</v>
      </c>
      <c r="L279" s="156">
        <f>'KW 40'!AO10</f>
        <v>0</v>
      </c>
      <c r="M279" s="159">
        <f>'KW 40'!AP10</f>
        <v>0</v>
      </c>
    </row>
    <row r="280" spans="4:13">
      <c r="D280" s="130" t="s">
        <v>394</v>
      </c>
      <c r="E280" s="135">
        <f>'KW 40'!AH11</f>
        <v>0</v>
      </c>
      <c r="F280" s="138">
        <f>'KW 40'!AI11</f>
        <v>0</v>
      </c>
      <c r="G280" s="141">
        <f>'KW 40'!AJ11</f>
        <v>0</v>
      </c>
      <c r="H280" s="144">
        <f>'KW 40'!AK11</f>
        <v>0</v>
      </c>
      <c r="I280" s="147">
        <f>'KW 40'!AL11</f>
        <v>0</v>
      </c>
      <c r="J280" s="150">
        <f>'KW 40'!AM11</f>
        <v>0</v>
      </c>
      <c r="K280" s="153">
        <f>'KW 40'!AN11</f>
        <v>0</v>
      </c>
      <c r="L280" s="156">
        <f>'KW 40'!AO11</f>
        <v>0</v>
      </c>
      <c r="M280" s="159">
        <f>'KW 40'!AP11</f>
        <v>0</v>
      </c>
    </row>
    <row r="281" spans="4:13">
      <c r="D281" s="130" t="s">
        <v>395</v>
      </c>
      <c r="E281" s="135">
        <f>'KW 40'!AH5</f>
        <v>0</v>
      </c>
      <c r="F281" s="138">
        <f>'KW 40'!AI5</f>
        <v>0</v>
      </c>
      <c r="G281" s="141">
        <f>'KW 40'!AJ5</f>
        <v>0</v>
      </c>
      <c r="H281" s="144">
        <f>'KW 40'!AK5</f>
        <v>0</v>
      </c>
      <c r="I281" s="147">
        <f>'KW 40'!AL5</f>
        <v>0</v>
      </c>
      <c r="J281" s="150">
        <f>'KW 40'!AM5</f>
        <v>0</v>
      </c>
      <c r="K281" s="153">
        <f>'KW 40'!AN5</f>
        <v>0</v>
      </c>
      <c r="L281" s="156">
        <f>'KW 40'!AO5</f>
        <v>0</v>
      </c>
      <c r="M281" s="159">
        <f>'KW 40'!AP5</f>
        <v>0</v>
      </c>
    </row>
    <row r="282" spans="4:13">
      <c r="D282" s="130" t="s">
        <v>396</v>
      </c>
      <c r="E282" s="135">
        <f>'KW 40'!AH6</f>
        <v>0</v>
      </c>
      <c r="F282" s="138">
        <f>'KW 40'!AI6</f>
        <v>0</v>
      </c>
      <c r="G282" s="141">
        <f>'KW 40'!AJ6</f>
        <v>0</v>
      </c>
      <c r="H282" s="144">
        <f>'KW 40'!AK6</f>
        <v>0</v>
      </c>
      <c r="I282" s="147">
        <f>'KW 40'!AL6</f>
        <v>0</v>
      </c>
      <c r="J282" s="150">
        <f>'KW 40'!AM6</f>
        <v>0</v>
      </c>
      <c r="K282" s="153">
        <f>'KW 40'!AN6</f>
        <v>0</v>
      </c>
      <c r="L282" s="156">
        <f>'KW 40'!AO6</f>
        <v>0</v>
      </c>
      <c r="M282" s="159">
        <f>'KW 40'!AP6</f>
        <v>0</v>
      </c>
    </row>
    <row r="283" spans="4:13">
      <c r="D283" s="130" t="s">
        <v>397</v>
      </c>
      <c r="E283" s="135">
        <f>'KW 41'!AH7</f>
        <v>0</v>
      </c>
      <c r="F283" s="138">
        <f>'KW 41'!AI7</f>
        <v>0</v>
      </c>
      <c r="G283" s="141">
        <f>'KW 41'!AJ7</f>
        <v>0</v>
      </c>
      <c r="H283" s="144">
        <f>'KW 41'!AK7</f>
        <v>0</v>
      </c>
      <c r="I283" s="147">
        <f>'KW 41'!AL7</f>
        <v>0</v>
      </c>
      <c r="J283" s="150">
        <f>'KW 41'!AM7</f>
        <v>0</v>
      </c>
      <c r="K283" s="153">
        <f>'KW 41'!AN7</f>
        <v>0</v>
      </c>
      <c r="L283" s="156">
        <f>'KW 41'!AO7</f>
        <v>0</v>
      </c>
      <c r="M283" s="159">
        <f>'KW 41'!AP7</f>
        <v>0</v>
      </c>
    </row>
    <row r="284" spans="4:13">
      <c r="D284" s="130" t="s">
        <v>398</v>
      </c>
      <c r="E284" s="135">
        <f>'KW 41'!AH8</f>
        <v>0</v>
      </c>
      <c r="F284" s="138">
        <f>'KW 41'!AI8</f>
        <v>0</v>
      </c>
      <c r="G284" s="141">
        <f>'KW 41'!AJ8</f>
        <v>0</v>
      </c>
      <c r="H284" s="144">
        <f>'KW 41'!AK8</f>
        <v>0</v>
      </c>
      <c r="I284" s="147">
        <f>'KW 41'!AL8</f>
        <v>0</v>
      </c>
      <c r="J284" s="150">
        <f>'KW 41'!AM8</f>
        <v>0</v>
      </c>
      <c r="K284" s="153">
        <f>'KW 41'!AN8</f>
        <v>0</v>
      </c>
      <c r="L284" s="156">
        <f>'KW 41'!AO8</f>
        <v>0</v>
      </c>
      <c r="M284" s="159">
        <f>'KW 41'!AP8</f>
        <v>0</v>
      </c>
    </row>
    <row r="285" spans="4:13">
      <c r="D285" s="130" t="s">
        <v>399</v>
      </c>
      <c r="E285" s="135">
        <f>'KW 41'!AH9</f>
        <v>0</v>
      </c>
      <c r="F285" s="138">
        <f>'KW 41'!AI9</f>
        <v>0</v>
      </c>
      <c r="G285" s="141">
        <f>'KW 41'!AJ9</f>
        <v>0</v>
      </c>
      <c r="H285" s="144">
        <f>'KW 41'!AK9</f>
        <v>0</v>
      </c>
      <c r="I285" s="147">
        <f>'KW 41'!AL9</f>
        <v>0</v>
      </c>
      <c r="J285" s="150">
        <f>'KW 41'!AM9</f>
        <v>0</v>
      </c>
      <c r="K285" s="153">
        <f>'KW 41'!AN9</f>
        <v>0</v>
      </c>
      <c r="L285" s="156">
        <f>'KW 41'!AO9</f>
        <v>0</v>
      </c>
      <c r="M285" s="159">
        <f>'KW 41'!AP9</f>
        <v>0</v>
      </c>
    </row>
    <row r="286" spans="4:13">
      <c r="D286" s="130" t="s">
        <v>400</v>
      </c>
      <c r="E286" s="135">
        <f>'KW 41'!AH10</f>
        <v>0</v>
      </c>
      <c r="F286" s="138">
        <f>'KW 41'!AI10</f>
        <v>0</v>
      </c>
      <c r="G286" s="141">
        <f>'KW 41'!AJ10</f>
        <v>0</v>
      </c>
      <c r="H286" s="144">
        <f>'KW 41'!AK10</f>
        <v>0</v>
      </c>
      <c r="I286" s="147">
        <f>'KW 41'!AL10</f>
        <v>0</v>
      </c>
      <c r="J286" s="150">
        <f>'KW 41'!AM10</f>
        <v>0</v>
      </c>
      <c r="K286" s="153">
        <f>'KW 41'!AN10</f>
        <v>0</v>
      </c>
      <c r="L286" s="156">
        <f>'KW 41'!AO10</f>
        <v>0</v>
      </c>
      <c r="M286" s="159">
        <f>'KW 41'!AP10</f>
        <v>0</v>
      </c>
    </row>
    <row r="287" spans="4:13">
      <c r="D287" s="130" t="s">
        <v>401</v>
      </c>
      <c r="E287" s="135">
        <f>'KW 41'!AH11</f>
        <v>0</v>
      </c>
      <c r="F287" s="138">
        <f>'KW 41'!AI11</f>
        <v>0</v>
      </c>
      <c r="G287" s="141">
        <f>'KW 41'!AJ11</f>
        <v>0</v>
      </c>
      <c r="H287" s="144">
        <f>'KW 41'!AK11</f>
        <v>0</v>
      </c>
      <c r="I287" s="147">
        <f>'KW 41'!AL11</f>
        <v>0</v>
      </c>
      <c r="J287" s="150">
        <f>'KW 41'!AM11</f>
        <v>0</v>
      </c>
      <c r="K287" s="153">
        <f>'KW 41'!AN11</f>
        <v>0</v>
      </c>
      <c r="L287" s="156">
        <f>'KW 41'!AO11</f>
        <v>0</v>
      </c>
      <c r="M287" s="159">
        <f>'KW 41'!AP11</f>
        <v>0</v>
      </c>
    </row>
    <row r="288" spans="4:13">
      <c r="D288" s="130" t="s">
        <v>402</v>
      </c>
      <c r="E288" s="135">
        <f>'KW 41'!AH5</f>
        <v>0</v>
      </c>
      <c r="F288" s="138">
        <f>'KW 41'!AI5</f>
        <v>0</v>
      </c>
      <c r="G288" s="141">
        <f>'KW 41'!AJ5</f>
        <v>0</v>
      </c>
      <c r="H288" s="144">
        <f>'KW 41'!AK5</f>
        <v>0</v>
      </c>
      <c r="I288" s="147">
        <f>'KW 41'!AL5</f>
        <v>0</v>
      </c>
      <c r="J288" s="150">
        <f>'KW 41'!AM5</f>
        <v>0</v>
      </c>
      <c r="K288" s="153">
        <f>'KW 41'!AN5</f>
        <v>0</v>
      </c>
      <c r="L288" s="156">
        <f>'KW 41'!AO5</f>
        <v>0</v>
      </c>
      <c r="M288" s="159">
        <f>'KW 41'!AP5</f>
        <v>0</v>
      </c>
    </row>
    <row r="289" spans="4:13">
      <c r="D289" s="130" t="s">
        <v>403</v>
      </c>
      <c r="E289" s="135">
        <f>'KW 41'!AH6</f>
        <v>0</v>
      </c>
      <c r="F289" s="138">
        <f>'KW 41'!AI6</f>
        <v>0</v>
      </c>
      <c r="G289" s="141">
        <f>'KW 41'!AJ6</f>
        <v>0</v>
      </c>
      <c r="H289" s="144">
        <f>'KW 41'!AK6</f>
        <v>0</v>
      </c>
      <c r="I289" s="147">
        <f>'KW 41'!AL6</f>
        <v>0</v>
      </c>
      <c r="J289" s="150">
        <f>'KW 41'!AM6</f>
        <v>0</v>
      </c>
      <c r="K289" s="153">
        <f>'KW 41'!AN6</f>
        <v>0</v>
      </c>
      <c r="L289" s="156">
        <f>'KW 41'!AO6</f>
        <v>0</v>
      </c>
      <c r="M289" s="159">
        <f>'KW 41'!AP6</f>
        <v>0</v>
      </c>
    </row>
    <row r="290" spans="4:13">
      <c r="D290" s="130" t="s">
        <v>404</v>
      </c>
      <c r="E290" s="135">
        <f>'KW 42'!AH7</f>
        <v>0</v>
      </c>
      <c r="F290" s="138">
        <f>'KW 42'!AI7</f>
        <v>0</v>
      </c>
      <c r="G290" s="141">
        <f>'KW 42'!AJ7</f>
        <v>0</v>
      </c>
      <c r="H290" s="144">
        <f>'KW 42'!AK7</f>
        <v>0</v>
      </c>
      <c r="I290" s="147">
        <f>'KW 42'!AL7</f>
        <v>0</v>
      </c>
      <c r="J290" s="150">
        <f>'KW 42'!AM7</f>
        <v>0</v>
      </c>
      <c r="K290" s="153">
        <f>'KW 42'!AN7</f>
        <v>0</v>
      </c>
      <c r="L290" s="156">
        <f>'KW 42'!AO7</f>
        <v>0</v>
      </c>
      <c r="M290" s="159">
        <f>'KW 42'!AP7</f>
        <v>0</v>
      </c>
    </row>
    <row r="291" spans="4:13">
      <c r="D291" s="130" t="s">
        <v>405</v>
      </c>
      <c r="E291" s="135">
        <f>'KW 42'!AH8</f>
        <v>0</v>
      </c>
      <c r="F291" s="138">
        <f>'KW 42'!AI8</f>
        <v>0</v>
      </c>
      <c r="G291" s="141">
        <f>'KW 42'!AJ8</f>
        <v>0</v>
      </c>
      <c r="H291" s="144">
        <f>'KW 42'!AK8</f>
        <v>0</v>
      </c>
      <c r="I291" s="147">
        <f>'KW 42'!AL8</f>
        <v>0</v>
      </c>
      <c r="J291" s="150">
        <f>'KW 42'!AM8</f>
        <v>0</v>
      </c>
      <c r="K291" s="153">
        <f>'KW 42'!AN8</f>
        <v>0</v>
      </c>
      <c r="L291" s="156">
        <f>'KW 42'!AO8</f>
        <v>0</v>
      </c>
      <c r="M291" s="159">
        <f>'KW 42'!AP8</f>
        <v>0</v>
      </c>
    </row>
    <row r="292" spans="4:13">
      <c r="D292" s="130" t="s">
        <v>406</v>
      </c>
      <c r="E292" s="135">
        <f>'KW 42'!AH9</f>
        <v>0</v>
      </c>
      <c r="F292" s="138">
        <f>'KW 42'!AI9</f>
        <v>0</v>
      </c>
      <c r="G292" s="141">
        <f>'KW 42'!AJ9</f>
        <v>0</v>
      </c>
      <c r="H292" s="144">
        <f>'KW 42'!AK9</f>
        <v>0</v>
      </c>
      <c r="I292" s="147">
        <f>'KW 42'!AL9</f>
        <v>0</v>
      </c>
      <c r="J292" s="150">
        <f>'KW 42'!AM9</f>
        <v>0</v>
      </c>
      <c r="K292" s="153">
        <f>'KW 42'!AN9</f>
        <v>0</v>
      </c>
      <c r="L292" s="156">
        <f>'KW 42'!AO9</f>
        <v>0</v>
      </c>
      <c r="M292" s="159">
        <f>'KW 42'!AP9</f>
        <v>0</v>
      </c>
    </row>
    <row r="293" spans="4:13">
      <c r="D293" s="130" t="s">
        <v>407</v>
      </c>
      <c r="E293" s="135">
        <f>'KW 42'!AH10</f>
        <v>0</v>
      </c>
      <c r="F293" s="138">
        <f>'KW 42'!AI10</f>
        <v>0</v>
      </c>
      <c r="G293" s="141">
        <f>'KW 42'!AJ10</f>
        <v>0</v>
      </c>
      <c r="H293" s="144">
        <f>'KW 42'!AK10</f>
        <v>0</v>
      </c>
      <c r="I293" s="147">
        <f>'KW 42'!AL10</f>
        <v>0</v>
      </c>
      <c r="J293" s="150">
        <f>'KW 42'!AM10</f>
        <v>0</v>
      </c>
      <c r="K293" s="153">
        <f>'KW 42'!AN10</f>
        <v>0</v>
      </c>
      <c r="L293" s="156">
        <f>'KW 42'!AO10</f>
        <v>0</v>
      </c>
      <c r="M293" s="159">
        <f>'KW 42'!AP10</f>
        <v>0</v>
      </c>
    </row>
    <row r="294" spans="4:13">
      <c r="D294" s="130" t="s">
        <v>408</v>
      </c>
      <c r="E294" s="135">
        <f>'KW 42'!AH11</f>
        <v>0</v>
      </c>
      <c r="F294" s="138">
        <f>'KW 42'!AI11</f>
        <v>0</v>
      </c>
      <c r="G294" s="141">
        <f>'KW 42'!AJ11</f>
        <v>0</v>
      </c>
      <c r="H294" s="144">
        <f>'KW 42'!AK11</f>
        <v>0</v>
      </c>
      <c r="I294" s="147">
        <f>'KW 42'!AL11</f>
        <v>0</v>
      </c>
      <c r="J294" s="150">
        <f>'KW 42'!AM11</f>
        <v>0</v>
      </c>
      <c r="K294" s="153">
        <f>'KW 42'!AN11</f>
        <v>0</v>
      </c>
      <c r="L294" s="156">
        <f>'KW 42'!AO11</f>
        <v>0</v>
      </c>
      <c r="M294" s="159">
        <f>'KW 42'!AP11</f>
        <v>0</v>
      </c>
    </row>
    <row r="295" spans="4:13">
      <c r="D295" s="130" t="s">
        <v>409</v>
      </c>
      <c r="E295" s="135">
        <f>'KW 42'!AH5</f>
        <v>0</v>
      </c>
      <c r="F295" s="138">
        <f>'KW 42'!AI5</f>
        <v>0</v>
      </c>
      <c r="G295" s="141">
        <f>'KW 42'!AJ5</f>
        <v>0</v>
      </c>
      <c r="H295" s="144">
        <f>'KW 42'!AK5</f>
        <v>0</v>
      </c>
      <c r="I295" s="147">
        <f>'KW 42'!AL5</f>
        <v>0</v>
      </c>
      <c r="J295" s="150">
        <f>'KW 42'!AM5</f>
        <v>0</v>
      </c>
      <c r="K295" s="153">
        <f>'KW 42'!AN5</f>
        <v>0</v>
      </c>
      <c r="L295" s="156">
        <f>'KW 42'!AO5</f>
        <v>0</v>
      </c>
      <c r="M295" s="159">
        <f>'KW 42'!AP5</f>
        <v>0</v>
      </c>
    </row>
    <row r="296" spans="4:13">
      <c r="D296" s="130" t="s">
        <v>410</v>
      </c>
      <c r="E296" s="135">
        <f>'KW 42'!AH6</f>
        <v>0</v>
      </c>
      <c r="F296" s="138">
        <f>'KW 42'!AI6</f>
        <v>0</v>
      </c>
      <c r="G296" s="141">
        <f>'KW 42'!AJ6</f>
        <v>0</v>
      </c>
      <c r="H296" s="144">
        <f>'KW 42'!AK6</f>
        <v>0</v>
      </c>
      <c r="I296" s="147">
        <f>'KW 42'!AL6</f>
        <v>0</v>
      </c>
      <c r="J296" s="150">
        <f>'KW 42'!AM6</f>
        <v>0</v>
      </c>
      <c r="K296" s="153">
        <f>'KW 42'!AN6</f>
        <v>0</v>
      </c>
      <c r="L296" s="156">
        <f>'KW 42'!AO6</f>
        <v>0</v>
      </c>
      <c r="M296" s="159">
        <f>'KW 42'!AP6</f>
        <v>0</v>
      </c>
    </row>
    <row r="297" spans="4:13">
      <c r="D297" s="130" t="s">
        <v>411</v>
      </c>
      <c r="E297" s="135">
        <f>'KW 43'!AH7</f>
        <v>0</v>
      </c>
      <c r="F297" s="138">
        <f>'KW 43'!AI7</f>
        <v>0</v>
      </c>
      <c r="G297" s="141">
        <f>'KW 43'!AJ7</f>
        <v>0</v>
      </c>
      <c r="H297" s="144">
        <f>'KW 43'!AK7</f>
        <v>0</v>
      </c>
      <c r="I297" s="147">
        <f>'KW 43'!AL7</f>
        <v>0</v>
      </c>
      <c r="J297" s="150">
        <f>'KW 43'!AM7</f>
        <v>0</v>
      </c>
      <c r="K297" s="153">
        <f>'KW 43'!AN7</f>
        <v>0</v>
      </c>
      <c r="L297" s="156">
        <f>'KW 43'!AO7</f>
        <v>0</v>
      </c>
      <c r="M297" s="159">
        <f>'KW 43'!AP7</f>
        <v>0</v>
      </c>
    </row>
    <row r="298" spans="4:13">
      <c r="D298" s="130" t="s">
        <v>412</v>
      </c>
      <c r="E298" s="135">
        <f>'KW 43'!AH8</f>
        <v>0</v>
      </c>
      <c r="F298" s="138">
        <f>'KW 43'!AI8</f>
        <v>0</v>
      </c>
      <c r="G298" s="141">
        <f>'KW 43'!AJ8</f>
        <v>0</v>
      </c>
      <c r="H298" s="144">
        <f>'KW 43'!AK8</f>
        <v>0</v>
      </c>
      <c r="I298" s="147">
        <f>'KW 43'!AL8</f>
        <v>0</v>
      </c>
      <c r="J298" s="150">
        <f>'KW 43'!AM8</f>
        <v>0</v>
      </c>
      <c r="K298" s="153">
        <f>'KW 43'!AN8</f>
        <v>0</v>
      </c>
      <c r="L298" s="156">
        <f>'KW 43'!AO8</f>
        <v>0</v>
      </c>
      <c r="M298" s="159">
        <f>'KW 43'!AP8</f>
        <v>0</v>
      </c>
    </row>
    <row r="299" spans="4:13">
      <c r="D299" s="130" t="s">
        <v>413</v>
      </c>
      <c r="E299" s="135">
        <f>'KW 43'!AH9</f>
        <v>0</v>
      </c>
      <c r="F299" s="138">
        <f>'KW 43'!AI9</f>
        <v>0</v>
      </c>
      <c r="G299" s="141">
        <f>'KW 43'!AJ9</f>
        <v>0</v>
      </c>
      <c r="H299" s="144">
        <f>'KW 43'!AK9</f>
        <v>0</v>
      </c>
      <c r="I299" s="147">
        <f>'KW 43'!AL9</f>
        <v>0</v>
      </c>
      <c r="J299" s="150">
        <f>'KW 43'!AM9</f>
        <v>0</v>
      </c>
      <c r="K299" s="153">
        <f>'KW 43'!AN9</f>
        <v>0</v>
      </c>
      <c r="L299" s="156">
        <f>'KW 43'!AO9</f>
        <v>0</v>
      </c>
      <c r="M299" s="159">
        <f>'KW 43'!AP9</f>
        <v>0</v>
      </c>
    </row>
    <row r="300" spans="4:13">
      <c r="D300" s="130" t="s">
        <v>414</v>
      </c>
      <c r="E300" s="135">
        <f>'KW 43'!AH10</f>
        <v>0</v>
      </c>
      <c r="F300" s="138">
        <f>'KW 43'!AI10</f>
        <v>0</v>
      </c>
      <c r="G300" s="141">
        <f>'KW 43'!AJ10</f>
        <v>0</v>
      </c>
      <c r="H300" s="144">
        <f>'KW 43'!AK10</f>
        <v>0</v>
      </c>
      <c r="I300" s="147">
        <f>'KW 43'!AL10</f>
        <v>0</v>
      </c>
      <c r="J300" s="150">
        <f>'KW 43'!AM10</f>
        <v>0</v>
      </c>
      <c r="K300" s="153">
        <f>'KW 43'!AN10</f>
        <v>0</v>
      </c>
      <c r="L300" s="156">
        <f>'KW 43'!AO10</f>
        <v>0</v>
      </c>
      <c r="M300" s="159">
        <f>'KW 43'!AP10</f>
        <v>0</v>
      </c>
    </row>
    <row r="301" spans="4:13">
      <c r="D301" s="130" t="s">
        <v>415</v>
      </c>
      <c r="E301" s="135">
        <f>'KW 43'!AH11</f>
        <v>0</v>
      </c>
      <c r="F301" s="138">
        <f>'KW 43'!AI11</f>
        <v>0</v>
      </c>
      <c r="G301" s="141">
        <f>'KW 43'!AJ11</f>
        <v>0</v>
      </c>
      <c r="H301" s="144">
        <f>'KW 43'!AK11</f>
        <v>0</v>
      </c>
      <c r="I301" s="147">
        <f>'KW 43'!AL11</f>
        <v>0</v>
      </c>
      <c r="J301" s="150">
        <f>'KW 43'!AM11</f>
        <v>0</v>
      </c>
      <c r="K301" s="153">
        <f>'KW 43'!AN11</f>
        <v>0</v>
      </c>
      <c r="L301" s="156">
        <f>'KW 43'!AO11</f>
        <v>0</v>
      </c>
      <c r="M301" s="159">
        <f>'KW 43'!AP11</f>
        <v>0</v>
      </c>
    </row>
    <row r="302" spans="4:13">
      <c r="D302" s="130" t="s">
        <v>416</v>
      </c>
      <c r="E302" s="135">
        <f>'KW 43'!AH5</f>
        <v>0</v>
      </c>
      <c r="F302" s="138">
        <f>'KW 43'!AI5</f>
        <v>0</v>
      </c>
      <c r="G302" s="141">
        <f>'KW 43'!AJ5</f>
        <v>0</v>
      </c>
      <c r="H302" s="144">
        <f>'KW 43'!AK5</f>
        <v>0</v>
      </c>
      <c r="I302" s="147">
        <f>'KW 43'!AL5</f>
        <v>0</v>
      </c>
      <c r="J302" s="150">
        <f>'KW 43'!AM5</f>
        <v>0</v>
      </c>
      <c r="K302" s="153">
        <f>'KW 43'!AN5</f>
        <v>0</v>
      </c>
      <c r="L302" s="156">
        <f>'KW 43'!AO5</f>
        <v>0</v>
      </c>
      <c r="M302" s="159">
        <f>'KW 43'!AP5</f>
        <v>0</v>
      </c>
    </row>
    <row r="303" spans="4:13">
      <c r="D303" s="130" t="s">
        <v>417</v>
      </c>
      <c r="E303" s="135">
        <f>'KW 44'!AH6</f>
        <v>0</v>
      </c>
      <c r="F303" s="138">
        <f>'KW 44'!AI6</f>
        <v>0</v>
      </c>
      <c r="G303" s="141">
        <f>'KW 44'!AJ6</f>
        <v>0</v>
      </c>
      <c r="H303" s="144">
        <f>'KW 44'!AK6</f>
        <v>0</v>
      </c>
      <c r="I303" s="147">
        <f>'KW 44'!AL6</f>
        <v>0</v>
      </c>
      <c r="J303" s="150">
        <f>'KW 44'!AM6</f>
        <v>0</v>
      </c>
      <c r="K303" s="153">
        <f>'KW 44'!AN6</f>
        <v>0</v>
      </c>
      <c r="L303" s="156">
        <f>'KW 44'!AO6</f>
        <v>0</v>
      </c>
      <c r="M303" s="159">
        <f>'KW 44'!AP6</f>
        <v>0</v>
      </c>
    </row>
    <row r="304" spans="4:13">
      <c r="D304" s="130" t="s">
        <v>418</v>
      </c>
      <c r="E304" s="135">
        <f>'KW 44'!AH7</f>
        <v>0</v>
      </c>
      <c r="F304" s="138">
        <f>'KW 44'!AI7</f>
        <v>0</v>
      </c>
      <c r="G304" s="141">
        <f>'KW 44'!AJ7</f>
        <v>0</v>
      </c>
      <c r="H304" s="144">
        <f>'KW 44'!AK7</f>
        <v>0</v>
      </c>
      <c r="I304" s="147">
        <f>'KW 44'!AL7</f>
        <v>0</v>
      </c>
      <c r="J304" s="150">
        <f>'KW 44'!AM7</f>
        <v>0</v>
      </c>
      <c r="K304" s="153">
        <f>'KW 44'!AN7</f>
        <v>0</v>
      </c>
      <c r="L304" s="156">
        <f>'KW 44'!AO7</f>
        <v>0</v>
      </c>
      <c r="M304" s="159">
        <f>'KW 44'!AP7</f>
        <v>0</v>
      </c>
    </row>
    <row r="305" spans="4:13">
      <c r="D305" s="130" t="s">
        <v>419</v>
      </c>
      <c r="E305" s="135">
        <f>'KW 44'!AH8</f>
        <v>0</v>
      </c>
      <c r="F305" s="138">
        <f>'KW 44'!AI8</f>
        <v>0</v>
      </c>
      <c r="G305" s="141">
        <f>'KW 44'!AJ8</f>
        <v>0</v>
      </c>
      <c r="H305" s="144">
        <f>'KW 44'!AK8</f>
        <v>0</v>
      </c>
      <c r="I305" s="147">
        <f>'KW 44'!AL8</f>
        <v>0</v>
      </c>
      <c r="J305" s="150">
        <f>'KW 44'!AM8</f>
        <v>0</v>
      </c>
      <c r="K305" s="153">
        <f>'KW 44'!AN8</f>
        <v>0</v>
      </c>
      <c r="L305" s="156">
        <f>'KW 44'!AO8</f>
        <v>0</v>
      </c>
      <c r="M305" s="159">
        <f>'KW 44'!AP8</f>
        <v>0</v>
      </c>
    </row>
    <row r="306" spans="4:13">
      <c r="D306" s="130" t="s">
        <v>420</v>
      </c>
      <c r="E306" s="135">
        <f>'KW 44'!AH9</f>
        <v>0</v>
      </c>
      <c r="F306" s="138">
        <f>'KW 44'!AI9</f>
        <v>0</v>
      </c>
      <c r="G306" s="141">
        <f>'KW 44'!AJ9</f>
        <v>0</v>
      </c>
      <c r="H306" s="144">
        <f>'KW 44'!AK9</f>
        <v>0</v>
      </c>
      <c r="I306" s="147">
        <f>'KW 44'!AL9</f>
        <v>0</v>
      </c>
      <c r="J306" s="150">
        <f>'KW 44'!AM9</f>
        <v>0</v>
      </c>
      <c r="K306" s="153">
        <f>'KW 44'!AN9</f>
        <v>0</v>
      </c>
      <c r="L306" s="156">
        <f>'KW 44'!AO9</f>
        <v>0</v>
      </c>
      <c r="M306" s="159">
        <f>'KW 44'!AP9</f>
        <v>0</v>
      </c>
    </row>
    <row r="307" spans="4:13">
      <c r="D307" s="127" t="s">
        <v>421</v>
      </c>
      <c r="E307" s="134">
        <f>'KW 44'!AH10</f>
        <v>0</v>
      </c>
      <c r="F307" s="137">
        <f>'KW 44'!AI10</f>
        <v>0</v>
      </c>
      <c r="G307" s="140">
        <f>'KW 44'!AJ10</f>
        <v>0</v>
      </c>
      <c r="H307" s="143">
        <f>'KW 44'!AK10</f>
        <v>0</v>
      </c>
      <c r="I307" s="146">
        <f>'KW 44'!AL10</f>
        <v>0</v>
      </c>
      <c r="J307" s="149">
        <f>'KW 44'!AM10</f>
        <v>0</v>
      </c>
      <c r="K307" s="152">
        <f>'KW 44'!AN10</f>
        <v>0</v>
      </c>
      <c r="L307" s="155">
        <f>'KW 44'!AO10</f>
        <v>0</v>
      </c>
      <c r="M307" s="158">
        <f>'KW 44'!AP10</f>
        <v>0</v>
      </c>
    </row>
    <row r="308" spans="4:13">
      <c r="D308" s="127" t="s">
        <v>422</v>
      </c>
      <c r="E308" s="134">
        <f>'KW 44'!AH11</f>
        <v>0</v>
      </c>
      <c r="F308" s="137">
        <f>'KW 44'!AI11</f>
        <v>0</v>
      </c>
      <c r="G308" s="140">
        <f>'KW 44'!AJ11</f>
        <v>0</v>
      </c>
      <c r="H308" s="143">
        <f>'KW 44'!AK11</f>
        <v>0</v>
      </c>
      <c r="I308" s="146">
        <f>'KW 44'!AL11</f>
        <v>0</v>
      </c>
      <c r="J308" s="149">
        <f>'KW 44'!AM11</f>
        <v>0</v>
      </c>
      <c r="K308" s="152">
        <f>'KW 44'!AN11</f>
        <v>0</v>
      </c>
      <c r="L308" s="155">
        <f>'KW 44'!AO11</f>
        <v>0</v>
      </c>
      <c r="M308" s="158">
        <f>'KW 44'!AP11</f>
        <v>0</v>
      </c>
    </row>
    <row r="309" spans="4:13">
      <c r="D309" s="127" t="s">
        <v>423</v>
      </c>
      <c r="E309" s="134">
        <f>'KW 44'!AH5</f>
        <v>0</v>
      </c>
      <c r="F309" s="137">
        <f>'KW 44'!AI5</f>
        <v>0</v>
      </c>
      <c r="G309" s="140">
        <f>'KW 44'!AJ5</f>
        <v>0</v>
      </c>
      <c r="H309" s="143">
        <f>'KW 44'!AK5</f>
        <v>0</v>
      </c>
      <c r="I309" s="146">
        <f>'KW 44'!AL5</f>
        <v>0</v>
      </c>
      <c r="J309" s="149">
        <f>'KW 44'!AM5</f>
        <v>0</v>
      </c>
      <c r="K309" s="152">
        <f>'KW 44'!AN5</f>
        <v>0</v>
      </c>
      <c r="L309" s="155">
        <f>'KW 44'!AO5</f>
        <v>0</v>
      </c>
      <c r="M309" s="158">
        <f>'KW 44'!AP5</f>
        <v>0</v>
      </c>
    </row>
    <row r="310" spans="4:13">
      <c r="D310" s="127" t="s">
        <v>424</v>
      </c>
      <c r="E310" s="134">
        <f>'KW 45'!AH6</f>
        <v>0</v>
      </c>
      <c r="F310" s="137">
        <f>'KW 45'!AI6</f>
        <v>0</v>
      </c>
      <c r="G310" s="140">
        <f>'KW 45'!AJ6</f>
        <v>0</v>
      </c>
      <c r="H310" s="143">
        <f>'KW 45'!AK6</f>
        <v>0</v>
      </c>
      <c r="I310" s="146">
        <f>'KW 45'!AL6</f>
        <v>0</v>
      </c>
      <c r="J310" s="149">
        <f>'KW 45'!AM6</f>
        <v>0</v>
      </c>
      <c r="K310" s="152">
        <f>'KW 45'!AN6</f>
        <v>0</v>
      </c>
      <c r="L310" s="155">
        <f>'KW 45'!AO6</f>
        <v>0</v>
      </c>
      <c r="M310" s="158">
        <f>'KW 45'!AP6</f>
        <v>0</v>
      </c>
    </row>
    <row r="311" spans="4:13">
      <c r="D311" s="127" t="s">
        <v>425</v>
      </c>
      <c r="E311" s="134">
        <f>'KW 45'!AH7</f>
        <v>0</v>
      </c>
      <c r="F311" s="137">
        <f>'KW 45'!AI7</f>
        <v>0</v>
      </c>
      <c r="G311" s="140">
        <f>'KW 45'!AJ7</f>
        <v>0</v>
      </c>
      <c r="H311" s="143">
        <f>'KW 45'!AK7</f>
        <v>0</v>
      </c>
      <c r="I311" s="146">
        <f>'KW 45'!AL7</f>
        <v>0</v>
      </c>
      <c r="J311" s="149">
        <f>'KW 45'!AM7</f>
        <v>0</v>
      </c>
      <c r="K311" s="152">
        <f>'KW 45'!AN7</f>
        <v>0</v>
      </c>
      <c r="L311" s="155">
        <f>'KW 45'!AO7</f>
        <v>0</v>
      </c>
      <c r="M311" s="158">
        <f>'KW 45'!AP7</f>
        <v>0</v>
      </c>
    </row>
    <row r="312" spans="4:13">
      <c r="D312" s="127" t="s">
        <v>426</v>
      </c>
      <c r="E312" s="134">
        <f>'KW 45'!AH8</f>
        <v>0</v>
      </c>
      <c r="F312" s="137">
        <f>'KW 45'!AI8</f>
        <v>0</v>
      </c>
      <c r="G312" s="140">
        <f>'KW 45'!AJ8</f>
        <v>0</v>
      </c>
      <c r="H312" s="143">
        <f>'KW 45'!AK8</f>
        <v>0</v>
      </c>
      <c r="I312" s="146">
        <f>'KW 45'!AL8</f>
        <v>0</v>
      </c>
      <c r="J312" s="149">
        <f>'KW 45'!AM8</f>
        <v>0</v>
      </c>
      <c r="K312" s="152">
        <f>'KW 45'!AN8</f>
        <v>0</v>
      </c>
      <c r="L312" s="155">
        <f>'KW 45'!AO8</f>
        <v>0</v>
      </c>
      <c r="M312" s="158">
        <f>'KW 45'!AP8</f>
        <v>0</v>
      </c>
    </row>
    <row r="313" spans="4:13">
      <c r="D313" s="127" t="s">
        <v>427</v>
      </c>
      <c r="E313" s="134">
        <f>'KW 45'!AH9</f>
        <v>0</v>
      </c>
      <c r="F313" s="137">
        <f>'KW 45'!AI9</f>
        <v>0</v>
      </c>
      <c r="G313" s="140">
        <f>'KW 45'!AJ9</f>
        <v>0</v>
      </c>
      <c r="H313" s="143">
        <f>'KW 45'!AK9</f>
        <v>0</v>
      </c>
      <c r="I313" s="146">
        <f>'KW 45'!AL9</f>
        <v>0</v>
      </c>
      <c r="J313" s="149">
        <f>'KW 45'!AM9</f>
        <v>0</v>
      </c>
      <c r="K313" s="152">
        <f>'KW 45'!AN9</f>
        <v>0</v>
      </c>
      <c r="L313" s="155">
        <f>'KW 45'!AO9</f>
        <v>0</v>
      </c>
      <c r="M313" s="158">
        <f>'KW 45'!AP9</f>
        <v>0</v>
      </c>
    </row>
    <row r="314" spans="4:13">
      <c r="D314" s="127" t="s">
        <v>428</v>
      </c>
      <c r="E314" s="134">
        <f>'KW 45'!AH10</f>
        <v>0</v>
      </c>
      <c r="F314" s="137">
        <f>'KW 45'!AI10</f>
        <v>0</v>
      </c>
      <c r="G314" s="140">
        <f>'KW 45'!AJ10</f>
        <v>0</v>
      </c>
      <c r="H314" s="143">
        <f>'KW 45'!AK10</f>
        <v>0</v>
      </c>
      <c r="I314" s="146">
        <f>'KW 45'!AL10</f>
        <v>0</v>
      </c>
      <c r="J314" s="149">
        <f>'KW 45'!AM10</f>
        <v>0</v>
      </c>
      <c r="K314" s="152">
        <f>'KW 45'!AN10</f>
        <v>0</v>
      </c>
      <c r="L314" s="155">
        <f>'KW 45'!AO10</f>
        <v>0</v>
      </c>
      <c r="M314" s="158">
        <f>'KW 45'!AP10</f>
        <v>0</v>
      </c>
    </row>
    <row r="315" spans="4:13">
      <c r="D315" s="127" t="s">
        <v>429</v>
      </c>
      <c r="E315" s="134">
        <f>'KW 45'!AH11</f>
        <v>0</v>
      </c>
      <c r="F315" s="137">
        <f>'KW 45'!AI11</f>
        <v>0</v>
      </c>
      <c r="G315" s="140">
        <f>'KW 45'!AJ11</f>
        <v>0</v>
      </c>
      <c r="H315" s="143">
        <f>'KW 45'!AK11</f>
        <v>0</v>
      </c>
      <c r="I315" s="146">
        <f>'KW 45'!AL11</f>
        <v>0</v>
      </c>
      <c r="J315" s="149">
        <f>'KW 45'!AM11</f>
        <v>0</v>
      </c>
      <c r="K315" s="152">
        <f>'KW 45'!AN11</f>
        <v>0</v>
      </c>
      <c r="L315" s="155">
        <f>'KW 45'!AO11</f>
        <v>0</v>
      </c>
      <c r="M315" s="158">
        <f>'KW 45'!AP11</f>
        <v>0</v>
      </c>
    </row>
    <row r="316" spans="4:13">
      <c r="D316" s="127" t="s">
        <v>430</v>
      </c>
      <c r="E316" s="134">
        <f>'KW 45'!AH5</f>
        <v>0</v>
      </c>
      <c r="F316" s="137">
        <f>'KW 45'!AI5</f>
        <v>0</v>
      </c>
      <c r="G316" s="140">
        <f>'KW 45'!AJ5</f>
        <v>0</v>
      </c>
      <c r="H316" s="143">
        <f>'KW 45'!AK5</f>
        <v>0</v>
      </c>
      <c r="I316" s="146">
        <f>'KW 45'!AL5</f>
        <v>0</v>
      </c>
      <c r="J316" s="149">
        <f>'KW 45'!AM5</f>
        <v>0</v>
      </c>
      <c r="K316" s="152">
        <f>'KW 45'!AN5</f>
        <v>0</v>
      </c>
      <c r="L316" s="155">
        <f>'KW 45'!AO5</f>
        <v>0</v>
      </c>
      <c r="M316" s="158">
        <f>'KW 45'!AP5</f>
        <v>0</v>
      </c>
    </row>
    <row r="317" spans="4:13">
      <c r="D317" s="127" t="s">
        <v>431</v>
      </c>
      <c r="E317" s="134">
        <f>'KW 46'!AH6</f>
        <v>0</v>
      </c>
      <c r="F317" s="137">
        <f>'KW 46'!AI6</f>
        <v>0</v>
      </c>
      <c r="G317" s="140">
        <f>'KW 46'!AJ6</f>
        <v>0</v>
      </c>
      <c r="H317" s="143">
        <f>'KW 46'!AK6</f>
        <v>0</v>
      </c>
      <c r="I317" s="146">
        <f>'KW 46'!AL6</f>
        <v>0</v>
      </c>
      <c r="J317" s="149">
        <f>'KW 46'!AM6</f>
        <v>0</v>
      </c>
      <c r="K317" s="152">
        <f>'KW 46'!AN6</f>
        <v>0</v>
      </c>
      <c r="L317" s="155">
        <f>'KW 46'!AO6</f>
        <v>0</v>
      </c>
      <c r="M317" s="158">
        <f>'KW 46'!AP6</f>
        <v>0</v>
      </c>
    </row>
    <row r="318" spans="4:13">
      <c r="D318" s="127" t="s">
        <v>432</v>
      </c>
      <c r="E318" s="134">
        <f>'KW 46'!AH7</f>
        <v>0</v>
      </c>
      <c r="F318" s="137">
        <f>'KW 46'!AI7</f>
        <v>0</v>
      </c>
      <c r="G318" s="140">
        <f>'KW 46'!AJ7</f>
        <v>0</v>
      </c>
      <c r="H318" s="143">
        <f>'KW 46'!AK7</f>
        <v>0</v>
      </c>
      <c r="I318" s="146">
        <f>'KW 46'!AL7</f>
        <v>0</v>
      </c>
      <c r="J318" s="149">
        <f>'KW 46'!AM7</f>
        <v>0</v>
      </c>
      <c r="K318" s="152">
        <f>'KW 46'!AN7</f>
        <v>0</v>
      </c>
      <c r="L318" s="155">
        <f>'KW 46'!AO7</f>
        <v>0</v>
      </c>
      <c r="M318" s="158">
        <f>'KW 46'!AP7</f>
        <v>0</v>
      </c>
    </row>
    <row r="319" spans="4:13">
      <c r="D319" s="127" t="s">
        <v>433</v>
      </c>
      <c r="E319" s="134">
        <f>'KW 46'!AH8</f>
        <v>0</v>
      </c>
      <c r="F319" s="137">
        <f>'KW 46'!AI8</f>
        <v>0</v>
      </c>
      <c r="G319" s="140">
        <f>'KW 46'!AJ8</f>
        <v>0</v>
      </c>
      <c r="H319" s="143">
        <f>'KW 46'!AK8</f>
        <v>0</v>
      </c>
      <c r="I319" s="146">
        <f>'KW 46'!AL8</f>
        <v>0</v>
      </c>
      <c r="J319" s="149">
        <f>'KW 46'!AM8</f>
        <v>0</v>
      </c>
      <c r="K319" s="152">
        <f>'KW 46'!AN8</f>
        <v>0</v>
      </c>
      <c r="L319" s="155">
        <f>'KW 46'!AO8</f>
        <v>0</v>
      </c>
      <c r="M319" s="158">
        <f>'KW 46'!AP8</f>
        <v>0</v>
      </c>
    </row>
    <row r="320" spans="4:13">
      <c r="D320" s="127" t="s">
        <v>434</v>
      </c>
      <c r="E320" s="134">
        <f>'KW 46'!AH9</f>
        <v>0</v>
      </c>
      <c r="F320" s="137">
        <f>'KW 46'!AI9</f>
        <v>0</v>
      </c>
      <c r="G320" s="140">
        <f>'KW 46'!AJ9</f>
        <v>0</v>
      </c>
      <c r="H320" s="143">
        <f>'KW 46'!AK9</f>
        <v>0</v>
      </c>
      <c r="I320" s="146">
        <f>'KW 46'!AL9</f>
        <v>0</v>
      </c>
      <c r="J320" s="149">
        <f>'KW 46'!AM9</f>
        <v>0</v>
      </c>
      <c r="K320" s="152">
        <f>'KW 46'!AN9</f>
        <v>0</v>
      </c>
      <c r="L320" s="155">
        <f>'KW 46'!AO9</f>
        <v>0</v>
      </c>
      <c r="M320" s="158">
        <f>'KW 46'!AP9</f>
        <v>0</v>
      </c>
    </row>
    <row r="321" spans="4:14">
      <c r="D321" s="127" t="s">
        <v>435</v>
      </c>
      <c r="E321" s="134">
        <f>'KW 46'!AH10</f>
        <v>0</v>
      </c>
      <c r="F321" s="137">
        <f>'KW 46'!AI10</f>
        <v>0</v>
      </c>
      <c r="G321" s="140">
        <f>'KW 46'!AJ10</f>
        <v>0</v>
      </c>
      <c r="H321" s="143">
        <f>'KW 46'!AK10</f>
        <v>0</v>
      </c>
      <c r="I321" s="146">
        <f>'KW 46'!AL10</f>
        <v>0</v>
      </c>
      <c r="J321" s="149">
        <f>'KW 46'!AM10</f>
        <v>0</v>
      </c>
      <c r="K321" s="152">
        <f>'KW 46'!AN10</f>
        <v>0</v>
      </c>
      <c r="L321" s="155">
        <f>'KW 46'!AO10</f>
        <v>0</v>
      </c>
      <c r="M321" s="158">
        <f>'KW 46'!AP10</f>
        <v>0</v>
      </c>
      <c r="N321" s="162">
        <f>SUM(L307:L336)</f>
        <v>0</v>
      </c>
    </row>
    <row r="322" spans="4:14">
      <c r="D322" s="127" t="s">
        <v>436</v>
      </c>
      <c r="E322" s="134">
        <f>'KW 46'!AH11</f>
        <v>0</v>
      </c>
      <c r="F322" s="137">
        <f>'KW 46'!AI11</f>
        <v>0</v>
      </c>
      <c r="G322" s="140">
        <f>'KW 46'!AJ11</f>
        <v>0</v>
      </c>
      <c r="H322" s="143">
        <f>'KW 46'!AK11</f>
        <v>0</v>
      </c>
      <c r="I322" s="146">
        <f>'KW 46'!AL11</f>
        <v>0</v>
      </c>
      <c r="J322" s="149">
        <f>'KW 46'!AM11</f>
        <v>0</v>
      </c>
      <c r="K322" s="152">
        <f>'KW 46'!AN11</f>
        <v>0</v>
      </c>
      <c r="L322" s="155">
        <f>'KW 46'!AO11</f>
        <v>0</v>
      </c>
      <c r="M322" s="158">
        <f>'KW 46'!AP11</f>
        <v>0</v>
      </c>
    </row>
    <row r="323" spans="4:14">
      <c r="D323" s="127" t="s">
        <v>437</v>
      </c>
      <c r="E323" s="134">
        <f>'KW 46'!AH5</f>
        <v>0</v>
      </c>
      <c r="F323" s="137">
        <f>'KW 46'!AI5</f>
        <v>0</v>
      </c>
      <c r="G323" s="140">
        <f>'KW 46'!AJ5</f>
        <v>0</v>
      </c>
      <c r="H323" s="143">
        <f>'KW 46'!AK5</f>
        <v>0</v>
      </c>
      <c r="I323" s="146">
        <f>'KW 46'!AL5</f>
        <v>0</v>
      </c>
      <c r="J323" s="149">
        <f>'KW 46'!AM5</f>
        <v>0</v>
      </c>
      <c r="K323" s="152">
        <f>'KW 46'!AN5</f>
        <v>0</v>
      </c>
      <c r="L323" s="155">
        <f>'KW 46'!AO5</f>
        <v>0</v>
      </c>
      <c r="M323" s="158">
        <f>'KW 46'!AP5</f>
        <v>0</v>
      </c>
    </row>
    <row r="324" spans="4:14">
      <c r="D324" s="127" t="s">
        <v>438</v>
      </c>
      <c r="E324" s="134">
        <f>'KW 47'!AH6</f>
        <v>0</v>
      </c>
      <c r="F324" s="137">
        <f>'KW 47'!AI6</f>
        <v>0</v>
      </c>
      <c r="G324" s="140">
        <f>'KW 47'!AJ6</f>
        <v>0</v>
      </c>
      <c r="H324" s="143">
        <f>'KW 47'!AK6</f>
        <v>0</v>
      </c>
      <c r="I324" s="146">
        <f>'KW 47'!AL6</f>
        <v>0</v>
      </c>
      <c r="J324" s="149">
        <f>'KW 47'!AM6</f>
        <v>0</v>
      </c>
      <c r="K324" s="152">
        <f>'KW 47'!AN6</f>
        <v>0</v>
      </c>
      <c r="L324" s="155">
        <f>'KW 47'!AO6</f>
        <v>0</v>
      </c>
      <c r="M324" s="158">
        <f>'KW 47'!AP6</f>
        <v>0</v>
      </c>
    </row>
    <row r="325" spans="4:14">
      <c r="D325" s="127" t="s">
        <v>439</v>
      </c>
      <c r="E325" s="134">
        <f>'KW 47'!AH7</f>
        <v>0</v>
      </c>
      <c r="F325" s="137">
        <f>'KW 47'!AI7</f>
        <v>0</v>
      </c>
      <c r="G325" s="140">
        <f>'KW 47'!AJ7</f>
        <v>0</v>
      </c>
      <c r="H325" s="143">
        <f>'KW 47'!AK7</f>
        <v>0</v>
      </c>
      <c r="I325" s="146">
        <f>'KW 47'!AL7</f>
        <v>0</v>
      </c>
      <c r="J325" s="149">
        <f>'KW 47'!AM7</f>
        <v>0</v>
      </c>
      <c r="K325" s="152">
        <f>'KW 47'!AN7</f>
        <v>0</v>
      </c>
      <c r="L325" s="155">
        <f>'KW 47'!AO7</f>
        <v>0</v>
      </c>
      <c r="M325" s="158">
        <f>'KW 47'!AP7</f>
        <v>0</v>
      </c>
    </row>
    <row r="326" spans="4:14">
      <c r="D326" s="127" t="s">
        <v>440</v>
      </c>
      <c r="E326" s="134">
        <f>'KW 47'!AH8</f>
        <v>0</v>
      </c>
      <c r="F326" s="137">
        <f>'KW 47'!AI8</f>
        <v>0</v>
      </c>
      <c r="G326" s="140">
        <f>'KW 47'!AJ8</f>
        <v>0</v>
      </c>
      <c r="H326" s="143">
        <f>'KW 47'!AK8</f>
        <v>0</v>
      </c>
      <c r="I326" s="146">
        <f>'KW 47'!AL8</f>
        <v>0</v>
      </c>
      <c r="J326" s="149">
        <f>'KW 47'!AM8</f>
        <v>0</v>
      </c>
      <c r="K326" s="152">
        <f>'KW 47'!AN8</f>
        <v>0</v>
      </c>
      <c r="L326" s="155">
        <f>'KW 47'!AO8</f>
        <v>0</v>
      </c>
      <c r="M326" s="158">
        <f>'KW 47'!AP8</f>
        <v>0</v>
      </c>
    </row>
    <row r="327" spans="4:14">
      <c r="D327" s="127" t="s">
        <v>441</v>
      </c>
      <c r="E327" s="134">
        <f>'KW 47'!AH9</f>
        <v>0</v>
      </c>
      <c r="F327" s="137">
        <f>'KW 47'!AI9</f>
        <v>0</v>
      </c>
      <c r="G327" s="140">
        <f>'KW 47'!AJ9</f>
        <v>0</v>
      </c>
      <c r="H327" s="143">
        <f>'KW 47'!AK9</f>
        <v>0</v>
      </c>
      <c r="I327" s="146">
        <f>'KW 47'!AL9</f>
        <v>0</v>
      </c>
      <c r="J327" s="149">
        <f>'KW 47'!AM9</f>
        <v>0</v>
      </c>
      <c r="K327" s="152">
        <f>'KW 47'!AN9</f>
        <v>0</v>
      </c>
      <c r="L327" s="155">
        <f>'KW 47'!AO9</f>
        <v>0</v>
      </c>
      <c r="M327" s="158">
        <f>'KW 47'!AP9</f>
        <v>0</v>
      </c>
    </row>
    <row r="328" spans="4:14">
      <c r="D328" s="127" t="s">
        <v>442</v>
      </c>
      <c r="E328" s="134">
        <f>'KW 47'!AH10</f>
        <v>0</v>
      </c>
      <c r="F328" s="137">
        <f>'KW 47'!AI10</f>
        <v>0</v>
      </c>
      <c r="G328" s="140">
        <f>'KW 47'!AJ10</f>
        <v>0</v>
      </c>
      <c r="H328" s="143">
        <f>'KW 47'!AK10</f>
        <v>0</v>
      </c>
      <c r="I328" s="146">
        <f>'KW 47'!AL10</f>
        <v>0</v>
      </c>
      <c r="J328" s="149">
        <f>'KW 47'!AM10</f>
        <v>0</v>
      </c>
      <c r="K328" s="152">
        <f>'KW 47'!AN10</f>
        <v>0</v>
      </c>
      <c r="L328" s="155">
        <f>'KW 47'!AO10</f>
        <v>0</v>
      </c>
      <c r="M328" s="158">
        <f>'KW 47'!AP10</f>
        <v>0</v>
      </c>
    </row>
    <row r="329" spans="4:14">
      <c r="D329" s="127" t="s">
        <v>443</v>
      </c>
      <c r="E329" s="134">
        <f>'KW 47'!AH11</f>
        <v>0</v>
      </c>
      <c r="F329" s="137">
        <f>'KW 47'!AI11</f>
        <v>0</v>
      </c>
      <c r="G329" s="140">
        <f>'KW 47'!AJ11</f>
        <v>0</v>
      </c>
      <c r="H329" s="143">
        <f>'KW 47'!AK11</f>
        <v>0</v>
      </c>
      <c r="I329" s="146">
        <f>'KW 47'!AL11</f>
        <v>0</v>
      </c>
      <c r="J329" s="149">
        <f>'KW 47'!AM11</f>
        <v>0</v>
      </c>
      <c r="K329" s="152">
        <f>'KW 47'!AN11</f>
        <v>0</v>
      </c>
      <c r="L329" s="155">
        <f>'KW 47'!AO11</f>
        <v>0</v>
      </c>
      <c r="M329" s="158">
        <f>'KW 47'!AP11</f>
        <v>0</v>
      </c>
    </row>
    <row r="330" spans="4:14">
      <c r="D330" s="127" t="s">
        <v>444</v>
      </c>
      <c r="E330" s="134">
        <f>'KW 47'!AH5</f>
        <v>0</v>
      </c>
      <c r="F330" s="137">
        <f>'KW 47'!AI5</f>
        <v>0</v>
      </c>
      <c r="G330" s="140">
        <f>'KW 47'!AJ5</f>
        <v>0</v>
      </c>
      <c r="H330" s="143">
        <f>'KW 47'!AK5</f>
        <v>0</v>
      </c>
      <c r="I330" s="146">
        <f>'KW 47'!AL5</f>
        <v>0</v>
      </c>
      <c r="J330" s="149">
        <f>'KW 47'!AM5</f>
        <v>0</v>
      </c>
      <c r="K330" s="152">
        <f>'KW 47'!AN5</f>
        <v>0</v>
      </c>
      <c r="L330" s="155">
        <f>'KW 47'!AO5</f>
        <v>0</v>
      </c>
      <c r="M330" s="158">
        <f>'KW 47'!AP5</f>
        <v>0</v>
      </c>
    </row>
    <row r="331" spans="4:14">
      <c r="D331" s="127" t="s">
        <v>445</v>
      </c>
      <c r="E331" s="134">
        <f>'KW 48'!AH6</f>
        <v>0</v>
      </c>
      <c r="F331" s="137">
        <f>'KW 48'!AI6</f>
        <v>0</v>
      </c>
      <c r="G331" s="140">
        <f>'KW 48'!AJ6</f>
        <v>0</v>
      </c>
      <c r="H331" s="143">
        <f>'KW 48'!AK6</f>
        <v>0</v>
      </c>
      <c r="I331" s="146">
        <f>'KW 48'!AL6</f>
        <v>0</v>
      </c>
      <c r="J331" s="149">
        <f>'KW 48'!AM6</f>
        <v>0</v>
      </c>
      <c r="K331" s="152">
        <f>'KW 48'!AN6</f>
        <v>0</v>
      </c>
      <c r="L331" s="155">
        <f>'KW 48'!AO6</f>
        <v>0</v>
      </c>
      <c r="M331" s="158">
        <f>'KW 48'!AP6</f>
        <v>0</v>
      </c>
    </row>
    <row r="332" spans="4:14">
      <c r="D332" s="127" t="s">
        <v>446</v>
      </c>
      <c r="E332" s="134">
        <f>'KW 48'!AH7</f>
        <v>0</v>
      </c>
      <c r="F332" s="137">
        <f>'KW 48'!AI7</f>
        <v>0</v>
      </c>
      <c r="G332" s="140">
        <f>'KW 48'!AJ7</f>
        <v>0</v>
      </c>
      <c r="H332" s="143">
        <f>'KW 48'!AK7</f>
        <v>0</v>
      </c>
      <c r="I332" s="146">
        <f>'KW 48'!AL7</f>
        <v>0</v>
      </c>
      <c r="J332" s="149">
        <f>'KW 48'!AM7</f>
        <v>0</v>
      </c>
      <c r="K332" s="152">
        <f>'KW 48'!AN7</f>
        <v>0</v>
      </c>
      <c r="L332" s="155">
        <f>'KW 48'!AO7</f>
        <v>0</v>
      </c>
      <c r="M332" s="158">
        <f>'KW 48'!AP7</f>
        <v>0</v>
      </c>
    </row>
    <row r="333" spans="4:14">
      <c r="D333" s="127" t="s">
        <v>447</v>
      </c>
      <c r="E333" s="134">
        <f>'KW 48'!AH8</f>
        <v>0</v>
      </c>
      <c r="F333" s="137">
        <f>'KW 48'!AI8</f>
        <v>0</v>
      </c>
      <c r="G333" s="140">
        <f>'KW 48'!AJ8</f>
        <v>0</v>
      </c>
      <c r="H333" s="143">
        <f>'KW 48'!AK8</f>
        <v>0</v>
      </c>
      <c r="I333" s="146">
        <f>'KW 48'!AL8</f>
        <v>0</v>
      </c>
      <c r="J333" s="149">
        <f>'KW 48'!AM8</f>
        <v>0</v>
      </c>
      <c r="K333" s="152">
        <f>'KW 48'!AN8</f>
        <v>0</v>
      </c>
      <c r="L333" s="155">
        <f>'KW 48'!AO8</f>
        <v>0</v>
      </c>
      <c r="M333" s="158">
        <f>'KW 48'!AP8</f>
        <v>0</v>
      </c>
    </row>
    <row r="334" spans="4:14">
      <c r="D334" s="127" t="s">
        <v>448</v>
      </c>
      <c r="E334" s="134">
        <f>'KW 48'!AH9</f>
        <v>0</v>
      </c>
      <c r="F334" s="137">
        <f>'KW 48'!AI9</f>
        <v>0</v>
      </c>
      <c r="G334" s="140">
        <f>'KW 48'!AJ9</f>
        <v>0</v>
      </c>
      <c r="H334" s="143">
        <f>'KW 48'!AK9</f>
        <v>0</v>
      </c>
      <c r="I334" s="146">
        <f>'KW 48'!AL9</f>
        <v>0</v>
      </c>
      <c r="J334" s="149">
        <f>'KW 48'!AM9</f>
        <v>0</v>
      </c>
      <c r="K334" s="152">
        <f>'KW 48'!AN9</f>
        <v>0</v>
      </c>
      <c r="L334" s="155">
        <f>'KW 48'!AO9</f>
        <v>0</v>
      </c>
      <c r="M334" s="158">
        <f>'KW 48'!AP9</f>
        <v>0</v>
      </c>
    </row>
    <row r="335" spans="4:14">
      <c r="D335" s="127" t="s">
        <v>449</v>
      </c>
      <c r="E335" s="134">
        <f>'KW 48'!AH10</f>
        <v>0</v>
      </c>
      <c r="F335" s="137">
        <f>'KW 48'!AI10</f>
        <v>0</v>
      </c>
      <c r="G335" s="140">
        <f>'KW 48'!AJ10</f>
        <v>0</v>
      </c>
      <c r="H335" s="143">
        <f>'KW 48'!AK10</f>
        <v>0</v>
      </c>
      <c r="I335" s="146">
        <f>'KW 48'!AL10</f>
        <v>0</v>
      </c>
      <c r="J335" s="149">
        <f>'KW 48'!AM10</f>
        <v>0</v>
      </c>
      <c r="K335" s="152">
        <f>'KW 48'!AN10</f>
        <v>0</v>
      </c>
      <c r="L335" s="155">
        <f>'KW 48'!AO10</f>
        <v>0</v>
      </c>
      <c r="M335" s="158">
        <f>'KW 48'!AP10</f>
        <v>0</v>
      </c>
    </row>
    <row r="336" spans="4:14">
      <c r="D336" s="127" t="s">
        <v>450</v>
      </c>
      <c r="E336" s="134">
        <f>'KW 48'!AH11</f>
        <v>0</v>
      </c>
      <c r="F336" s="137">
        <f>'KW 48'!AI11</f>
        <v>0</v>
      </c>
      <c r="G336" s="140">
        <f>'KW 48'!AJ11</f>
        <v>0</v>
      </c>
      <c r="H336" s="143">
        <f>'KW 48'!AK11</f>
        <v>0</v>
      </c>
      <c r="I336" s="146">
        <f>'KW 48'!AL11</f>
        <v>0</v>
      </c>
      <c r="J336" s="149">
        <f>'KW 48'!AM11</f>
        <v>0</v>
      </c>
      <c r="K336" s="152">
        <f>'KW 48'!AN11</f>
        <v>0</v>
      </c>
      <c r="L336" s="155">
        <f>'KW 48'!AO11</f>
        <v>0</v>
      </c>
      <c r="M336" s="158">
        <f>'KW 48'!AP11</f>
        <v>0</v>
      </c>
    </row>
    <row r="337" spans="4:13">
      <c r="D337" s="130" t="s">
        <v>451</v>
      </c>
      <c r="E337" s="135">
        <f>'KW 48'!AH5</f>
        <v>0</v>
      </c>
      <c r="F337" s="138">
        <f>'KW 48'!AI5</f>
        <v>0</v>
      </c>
      <c r="G337" s="141">
        <f>'KW 48'!AJ5</f>
        <v>0</v>
      </c>
      <c r="H337" s="144">
        <f>'KW 48'!AK5</f>
        <v>0</v>
      </c>
      <c r="I337" s="147">
        <f>'KW 48'!AL5</f>
        <v>0</v>
      </c>
      <c r="J337" s="150">
        <f>'KW 48'!AM5</f>
        <v>0</v>
      </c>
      <c r="K337" s="153">
        <f>'KW 48'!AN5</f>
        <v>0</v>
      </c>
      <c r="L337" s="156">
        <f>'KW 48'!AO5</f>
        <v>0</v>
      </c>
      <c r="M337" s="159">
        <f>'KW 48'!AP5</f>
        <v>0</v>
      </c>
    </row>
    <row r="338" spans="4:13">
      <c r="D338" s="130" t="s">
        <v>452</v>
      </c>
      <c r="E338" s="135">
        <f>'KW 49'!AH6</f>
        <v>0</v>
      </c>
      <c r="F338" s="138">
        <f>'KW 49'!AI6</f>
        <v>0</v>
      </c>
      <c r="G338" s="141">
        <f>'KW 49'!AJ6</f>
        <v>0</v>
      </c>
      <c r="H338" s="144">
        <f>'KW 49'!AK6</f>
        <v>0</v>
      </c>
      <c r="I338" s="147">
        <f>'KW 49'!AL6</f>
        <v>0</v>
      </c>
      <c r="J338" s="150">
        <f>'KW 49'!AM6</f>
        <v>0</v>
      </c>
      <c r="K338" s="153">
        <f>'KW 49'!AN6</f>
        <v>0</v>
      </c>
      <c r="L338" s="156">
        <f>'KW 49'!AO6</f>
        <v>0</v>
      </c>
      <c r="M338" s="159">
        <f>'KW 49'!AP6</f>
        <v>0</v>
      </c>
    </row>
    <row r="339" spans="4:13">
      <c r="D339" s="130" t="s">
        <v>453</v>
      </c>
      <c r="E339" s="135">
        <f>'KW 49'!AH7</f>
        <v>0</v>
      </c>
      <c r="F339" s="138">
        <f>'KW 49'!AI7</f>
        <v>0</v>
      </c>
      <c r="G339" s="141">
        <f>'KW 49'!AJ7</f>
        <v>0</v>
      </c>
      <c r="H339" s="144">
        <f>'KW 49'!AK7</f>
        <v>0</v>
      </c>
      <c r="I339" s="147">
        <f>'KW 49'!AL7</f>
        <v>0</v>
      </c>
      <c r="J339" s="150">
        <f>'KW 49'!AM7</f>
        <v>0</v>
      </c>
      <c r="K339" s="153">
        <f>'KW 49'!AN7</f>
        <v>0</v>
      </c>
      <c r="L339" s="156">
        <f>'KW 49'!AO7</f>
        <v>0</v>
      </c>
      <c r="M339" s="159">
        <f>'KW 49'!AP7</f>
        <v>0</v>
      </c>
    </row>
    <row r="340" spans="4:13">
      <c r="D340" s="130" t="s">
        <v>454</v>
      </c>
      <c r="E340" s="135">
        <f>'KW 49'!AH8</f>
        <v>0</v>
      </c>
      <c r="F340" s="138">
        <f>'KW 49'!AI8</f>
        <v>0</v>
      </c>
      <c r="G340" s="141">
        <f>'KW 49'!AJ8</f>
        <v>0</v>
      </c>
      <c r="H340" s="144">
        <f>'KW 49'!AK8</f>
        <v>0</v>
      </c>
      <c r="I340" s="147">
        <f>'KW 49'!AL8</f>
        <v>0</v>
      </c>
      <c r="J340" s="150">
        <f>'KW 49'!AM8</f>
        <v>0</v>
      </c>
      <c r="K340" s="153">
        <f>'KW 49'!AN8</f>
        <v>0</v>
      </c>
      <c r="L340" s="156">
        <f>'KW 49'!AO8</f>
        <v>0</v>
      </c>
      <c r="M340" s="159">
        <f>'KW 49'!AP8</f>
        <v>0</v>
      </c>
    </row>
    <row r="341" spans="4:13">
      <c r="D341" s="130" t="s">
        <v>455</v>
      </c>
      <c r="E341" s="135">
        <f>'KW 49'!AH9</f>
        <v>0</v>
      </c>
      <c r="F341" s="138">
        <f>'KW 49'!AI9</f>
        <v>0</v>
      </c>
      <c r="G341" s="141">
        <f>'KW 49'!AJ9</f>
        <v>0</v>
      </c>
      <c r="H341" s="144">
        <f>'KW 49'!AK9</f>
        <v>0</v>
      </c>
      <c r="I341" s="147">
        <f>'KW 49'!AL9</f>
        <v>0</v>
      </c>
      <c r="J341" s="150">
        <f>'KW 49'!AM9</f>
        <v>0</v>
      </c>
      <c r="K341" s="153">
        <f>'KW 49'!AN9</f>
        <v>0</v>
      </c>
      <c r="L341" s="156">
        <f>'KW 49'!AO9</f>
        <v>0</v>
      </c>
      <c r="M341" s="159">
        <f>'KW 49'!AP9</f>
        <v>0</v>
      </c>
    </row>
    <row r="342" spans="4:13">
      <c r="D342" s="130" t="s">
        <v>456</v>
      </c>
      <c r="E342" s="135">
        <f>'KW 49'!AH10</f>
        <v>0</v>
      </c>
      <c r="F342" s="138">
        <f>'KW 49'!AI10</f>
        <v>0</v>
      </c>
      <c r="G342" s="141">
        <f>'KW 49'!AJ10</f>
        <v>0</v>
      </c>
      <c r="H342" s="144">
        <f>'KW 49'!AK10</f>
        <v>0</v>
      </c>
      <c r="I342" s="147">
        <f>'KW 49'!AL10</f>
        <v>0</v>
      </c>
      <c r="J342" s="150">
        <f>'KW 49'!AM10</f>
        <v>0</v>
      </c>
      <c r="K342" s="153">
        <f>'KW 49'!AN10</f>
        <v>0</v>
      </c>
      <c r="L342" s="156">
        <f>'KW 49'!AO10</f>
        <v>0</v>
      </c>
      <c r="M342" s="159">
        <f>'KW 49'!AP10</f>
        <v>0</v>
      </c>
    </row>
    <row r="343" spans="4:13">
      <c r="D343" s="130" t="s">
        <v>457</v>
      </c>
      <c r="E343" s="135">
        <f>'KW 49'!AH11</f>
        <v>0</v>
      </c>
      <c r="F343" s="138">
        <f>'KW 49'!AI11</f>
        <v>0</v>
      </c>
      <c r="G343" s="141">
        <f>'KW 49'!AJ11</f>
        <v>0</v>
      </c>
      <c r="H343" s="144">
        <f>'KW 49'!AK11</f>
        <v>0</v>
      </c>
      <c r="I343" s="147">
        <f>'KW 49'!AL11</f>
        <v>0</v>
      </c>
      <c r="J343" s="150">
        <f>'KW 49'!AM11</f>
        <v>0</v>
      </c>
      <c r="K343" s="153">
        <f>'KW 49'!AN11</f>
        <v>0</v>
      </c>
      <c r="L343" s="156">
        <f>'KW 49'!AO11</f>
        <v>0</v>
      </c>
      <c r="M343" s="159">
        <f>'KW 49'!AP11</f>
        <v>0</v>
      </c>
    </row>
    <row r="344" spans="4:13">
      <c r="D344" s="130" t="s">
        <v>458</v>
      </c>
      <c r="E344" s="135">
        <f>'KW 49'!AH5</f>
        <v>0</v>
      </c>
      <c r="F344" s="138">
        <f>'KW 49'!AI5</f>
        <v>0</v>
      </c>
      <c r="G344" s="141">
        <f>'KW 49'!AJ5</f>
        <v>0</v>
      </c>
      <c r="H344" s="144">
        <f>'KW 49'!AK5</f>
        <v>0</v>
      </c>
      <c r="I344" s="147">
        <f>'KW 49'!AL5</f>
        <v>0</v>
      </c>
      <c r="J344" s="150">
        <f>'KW 49'!AM5</f>
        <v>0</v>
      </c>
      <c r="K344" s="153">
        <f>'KW 49'!AN5</f>
        <v>0</v>
      </c>
      <c r="L344" s="156">
        <f>'KW 49'!AO5</f>
        <v>0</v>
      </c>
      <c r="M344" s="159">
        <f>'KW 49'!AP5</f>
        <v>0</v>
      </c>
    </row>
    <row r="345" spans="4:13">
      <c r="D345" s="130" t="s">
        <v>459</v>
      </c>
      <c r="E345" s="135">
        <f>'KW 50'!AH6</f>
        <v>0</v>
      </c>
      <c r="F345" s="138">
        <f>'KW 50'!AI6</f>
        <v>0</v>
      </c>
      <c r="G345" s="141">
        <f>'KW 50'!AJ6</f>
        <v>0</v>
      </c>
      <c r="H345" s="144">
        <f>'KW 50'!AK6</f>
        <v>0</v>
      </c>
      <c r="I345" s="147">
        <f>'KW 50'!AL6</f>
        <v>0</v>
      </c>
      <c r="J345" s="150">
        <f>'KW 50'!AM6</f>
        <v>0</v>
      </c>
      <c r="K345" s="153">
        <f>'KW 50'!AN6</f>
        <v>0</v>
      </c>
      <c r="L345" s="156">
        <f>'KW 50'!AO6</f>
        <v>0</v>
      </c>
      <c r="M345" s="159">
        <f>'KW 50'!AP6</f>
        <v>0</v>
      </c>
    </row>
    <row r="346" spans="4:13">
      <c r="D346" s="130" t="s">
        <v>460</v>
      </c>
      <c r="E346" s="135">
        <f>'KW 50'!AH7</f>
        <v>0</v>
      </c>
      <c r="F346" s="138">
        <f>'KW 50'!AI7</f>
        <v>0</v>
      </c>
      <c r="G346" s="141">
        <f>'KW 50'!AJ7</f>
        <v>0</v>
      </c>
      <c r="H346" s="144">
        <f>'KW 50'!AK7</f>
        <v>0</v>
      </c>
      <c r="I346" s="147">
        <f>'KW 50'!AL7</f>
        <v>0</v>
      </c>
      <c r="J346" s="150">
        <f>'KW 50'!AM7</f>
        <v>0</v>
      </c>
      <c r="K346" s="153">
        <f>'KW 50'!AN7</f>
        <v>0</v>
      </c>
      <c r="L346" s="156">
        <f>'KW 50'!AO7</f>
        <v>0</v>
      </c>
      <c r="M346" s="159">
        <f>'KW 50'!AP7</f>
        <v>0</v>
      </c>
    </row>
    <row r="347" spans="4:13">
      <c r="D347" s="130" t="s">
        <v>461</v>
      </c>
      <c r="E347" s="135">
        <f>'KW 50'!AH8</f>
        <v>0</v>
      </c>
      <c r="F347" s="138">
        <f>'KW 50'!AI8</f>
        <v>0</v>
      </c>
      <c r="G347" s="141">
        <f>'KW 50'!AJ8</f>
        <v>0</v>
      </c>
      <c r="H347" s="144">
        <f>'KW 50'!AK8</f>
        <v>0</v>
      </c>
      <c r="I347" s="147">
        <f>'KW 50'!AL8</f>
        <v>0</v>
      </c>
      <c r="J347" s="150">
        <f>'KW 50'!AM8</f>
        <v>0</v>
      </c>
      <c r="K347" s="153">
        <f>'KW 50'!AN8</f>
        <v>0</v>
      </c>
      <c r="L347" s="156">
        <f>'KW 50'!AO8</f>
        <v>0</v>
      </c>
      <c r="M347" s="159">
        <f>'KW 50'!AP8</f>
        <v>0</v>
      </c>
    </row>
    <row r="348" spans="4:13">
      <c r="D348" s="130" t="s">
        <v>462</v>
      </c>
      <c r="E348" s="135">
        <f>'KW 50'!AH9</f>
        <v>0</v>
      </c>
      <c r="F348" s="138">
        <f>'KW 50'!AI9</f>
        <v>0</v>
      </c>
      <c r="G348" s="141">
        <f>'KW 50'!AJ9</f>
        <v>0</v>
      </c>
      <c r="H348" s="144">
        <f>'KW 50'!AK9</f>
        <v>0</v>
      </c>
      <c r="I348" s="147">
        <f>'KW 50'!AL9</f>
        <v>0</v>
      </c>
      <c r="J348" s="150">
        <f>'KW 50'!AM9</f>
        <v>0</v>
      </c>
      <c r="K348" s="153">
        <f>'KW 50'!AN9</f>
        <v>0</v>
      </c>
      <c r="L348" s="156">
        <f>'KW 50'!AO9</f>
        <v>0</v>
      </c>
      <c r="M348" s="159">
        <f>'KW 50'!AP9</f>
        <v>0</v>
      </c>
    </row>
    <row r="349" spans="4:13">
      <c r="D349" s="130" t="s">
        <v>463</v>
      </c>
      <c r="E349" s="135">
        <f>'KW 50'!AH10</f>
        <v>0</v>
      </c>
      <c r="F349" s="138">
        <f>'KW 50'!AI10</f>
        <v>0</v>
      </c>
      <c r="G349" s="141">
        <f>'KW 50'!AJ10</f>
        <v>0</v>
      </c>
      <c r="H349" s="144">
        <f>'KW 50'!AK10</f>
        <v>0</v>
      </c>
      <c r="I349" s="147">
        <f>'KW 50'!AL10</f>
        <v>0</v>
      </c>
      <c r="J349" s="150">
        <f>'KW 50'!AM10</f>
        <v>0</v>
      </c>
      <c r="K349" s="153">
        <f>'KW 50'!AN10</f>
        <v>0</v>
      </c>
      <c r="L349" s="156">
        <f>'KW 50'!AO10</f>
        <v>0</v>
      </c>
      <c r="M349" s="159">
        <f>'KW 50'!AP10</f>
        <v>0</v>
      </c>
    </row>
    <row r="350" spans="4:13">
      <c r="D350" s="130" t="s">
        <v>464</v>
      </c>
      <c r="E350" s="135">
        <f>'KW 50'!AH11</f>
        <v>0</v>
      </c>
      <c r="F350" s="138">
        <f>'KW 50'!AI11</f>
        <v>0</v>
      </c>
      <c r="G350" s="141">
        <f>'KW 50'!AJ11</f>
        <v>0</v>
      </c>
      <c r="H350" s="144">
        <f>'KW 50'!AK11</f>
        <v>0</v>
      </c>
      <c r="I350" s="147">
        <f>'KW 50'!AL11</f>
        <v>0</v>
      </c>
      <c r="J350" s="150">
        <f>'KW 50'!AM11</f>
        <v>0</v>
      </c>
      <c r="K350" s="153">
        <f>'KW 50'!AN11</f>
        <v>0</v>
      </c>
      <c r="L350" s="156">
        <f>'KW 50'!AO11</f>
        <v>0</v>
      </c>
      <c r="M350" s="159">
        <f>'KW 50'!AP11</f>
        <v>0</v>
      </c>
    </row>
    <row r="351" spans="4:13">
      <c r="D351" s="130" t="s">
        <v>465</v>
      </c>
      <c r="E351" s="135">
        <f>'KW 50'!AH5</f>
        <v>0</v>
      </c>
      <c r="F351" s="138">
        <f>'KW 50'!AI5</f>
        <v>0</v>
      </c>
      <c r="G351" s="141">
        <f>'KW 50'!AJ5</f>
        <v>0</v>
      </c>
      <c r="H351" s="144">
        <f>'KW 50'!AK5</f>
        <v>0</v>
      </c>
      <c r="I351" s="147">
        <f>'KW 50'!AL5</f>
        <v>0</v>
      </c>
      <c r="J351" s="150">
        <f>'KW 50'!AM5</f>
        <v>0</v>
      </c>
      <c r="K351" s="153">
        <f>'KW 50'!AN5</f>
        <v>0</v>
      </c>
      <c r="L351" s="156">
        <f>'KW 50'!AO5</f>
        <v>0</v>
      </c>
      <c r="M351" s="159">
        <f>'KW 50'!AP5</f>
        <v>0</v>
      </c>
    </row>
    <row r="352" spans="4:13">
      <c r="D352" s="130" t="s">
        <v>466</v>
      </c>
      <c r="E352" s="135">
        <f>'KW 51'!AH6</f>
        <v>0</v>
      </c>
      <c r="F352" s="138">
        <f>'KW 51'!AI6</f>
        <v>0</v>
      </c>
      <c r="G352" s="141">
        <f>'KW 51'!AJ6</f>
        <v>0</v>
      </c>
      <c r="H352" s="144">
        <f>'KW 51'!AK6</f>
        <v>0</v>
      </c>
      <c r="I352" s="147">
        <f>'KW 51'!AL6</f>
        <v>0</v>
      </c>
      <c r="J352" s="150">
        <f>'KW 51'!AM6</f>
        <v>0</v>
      </c>
      <c r="K352" s="153">
        <f>'KW 51'!AN6</f>
        <v>0</v>
      </c>
      <c r="L352" s="156">
        <f>'KW 51'!AO6</f>
        <v>0</v>
      </c>
      <c r="M352" s="159">
        <f>'KW 51'!AP6</f>
        <v>0</v>
      </c>
    </row>
    <row r="353" spans="4:13">
      <c r="D353" s="130" t="s">
        <v>467</v>
      </c>
      <c r="E353" s="135">
        <f>'KW 51'!AH7</f>
        <v>0</v>
      </c>
      <c r="F353" s="138">
        <f>'KW 51'!AI7</f>
        <v>0</v>
      </c>
      <c r="G353" s="141">
        <f>'KW 51'!AJ7</f>
        <v>0</v>
      </c>
      <c r="H353" s="144">
        <f>'KW 51'!AK7</f>
        <v>0</v>
      </c>
      <c r="I353" s="147">
        <f>'KW 51'!AL7</f>
        <v>0</v>
      </c>
      <c r="J353" s="150">
        <f>'KW 51'!AM7</f>
        <v>0</v>
      </c>
      <c r="K353" s="153">
        <f>'KW 51'!AN7</f>
        <v>0</v>
      </c>
      <c r="L353" s="156">
        <f>'KW 51'!AO7</f>
        <v>0</v>
      </c>
      <c r="M353" s="159">
        <f>'KW 51'!AP7</f>
        <v>0</v>
      </c>
    </row>
    <row r="354" spans="4:13">
      <c r="D354" s="130" t="s">
        <v>468</v>
      </c>
      <c r="E354" s="135">
        <f>'KW 51'!AH8</f>
        <v>0</v>
      </c>
      <c r="F354" s="138">
        <f>'KW 51'!AI8</f>
        <v>0</v>
      </c>
      <c r="G354" s="141">
        <f>'KW 51'!AJ8</f>
        <v>0</v>
      </c>
      <c r="H354" s="144">
        <f>'KW 51'!AK8</f>
        <v>0</v>
      </c>
      <c r="I354" s="147">
        <f>'KW 51'!AL8</f>
        <v>0</v>
      </c>
      <c r="J354" s="150">
        <f>'KW 51'!AM8</f>
        <v>0</v>
      </c>
      <c r="K354" s="153">
        <f>'KW 51'!AN8</f>
        <v>0</v>
      </c>
      <c r="L354" s="156">
        <f>'KW 51'!AO8</f>
        <v>0</v>
      </c>
      <c r="M354" s="159">
        <f>'KW 51'!AP8</f>
        <v>0</v>
      </c>
    </row>
    <row r="355" spans="4:13">
      <c r="D355" s="130" t="s">
        <v>469</v>
      </c>
      <c r="E355" s="135">
        <f>'KW 51'!AH9</f>
        <v>0</v>
      </c>
      <c r="F355" s="138">
        <f>'KW 51'!AI9</f>
        <v>0</v>
      </c>
      <c r="G355" s="141">
        <f>'KW 51'!AJ9</f>
        <v>0</v>
      </c>
      <c r="H355" s="144">
        <f>'KW 51'!AK9</f>
        <v>0</v>
      </c>
      <c r="I355" s="147">
        <f>'KW 51'!AL9</f>
        <v>0</v>
      </c>
      <c r="J355" s="150">
        <f>'KW 51'!AM9</f>
        <v>0</v>
      </c>
      <c r="K355" s="153">
        <f>'KW 51'!AN9</f>
        <v>0</v>
      </c>
      <c r="L355" s="156">
        <f>'KW 51'!AO9</f>
        <v>0</v>
      </c>
      <c r="M355" s="159">
        <f>'KW 51'!AP9</f>
        <v>0</v>
      </c>
    </row>
    <row r="356" spans="4:13">
      <c r="D356" s="130" t="s">
        <v>470</v>
      </c>
      <c r="E356" s="135">
        <f>'KW 51'!AH10</f>
        <v>0</v>
      </c>
      <c r="F356" s="138">
        <f>'KW 51'!AI10</f>
        <v>0</v>
      </c>
      <c r="G356" s="141">
        <f>'KW 51'!AJ10</f>
        <v>0</v>
      </c>
      <c r="H356" s="144">
        <f>'KW 51'!AK10</f>
        <v>0</v>
      </c>
      <c r="I356" s="147">
        <f>'KW 51'!AL10</f>
        <v>0</v>
      </c>
      <c r="J356" s="150">
        <f>'KW 51'!AM10</f>
        <v>0</v>
      </c>
      <c r="K356" s="153">
        <f>'KW 51'!AN10</f>
        <v>0</v>
      </c>
      <c r="L356" s="156">
        <f>'KW 51'!AO10</f>
        <v>0</v>
      </c>
      <c r="M356" s="159">
        <f>'KW 51'!AP10</f>
        <v>0</v>
      </c>
    </row>
    <row r="357" spans="4:13">
      <c r="D357" s="130" t="s">
        <v>471</v>
      </c>
      <c r="E357" s="135">
        <f>'KW 51'!AH11</f>
        <v>0</v>
      </c>
      <c r="F357" s="138">
        <f>'KW 51'!AI11</f>
        <v>0</v>
      </c>
      <c r="G357" s="141">
        <f>'KW 51'!AJ11</f>
        <v>0</v>
      </c>
      <c r="H357" s="144">
        <f>'KW 51'!AK11</f>
        <v>0</v>
      </c>
      <c r="I357" s="147">
        <f>'KW 51'!AL11</f>
        <v>0</v>
      </c>
      <c r="J357" s="150">
        <f>'KW 51'!AM11</f>
        <v>0</v>
      </c>
      <c r="K357" s="153">
        <f>'KW 51'!AN11</f>
        <v>0</v>
      </c>
      <c r="L357" s="156">
        <f>'KW 51'!AO11</f>
        <v>0</v>
      </c>
      <c r="M357" s="159">
        <f>'KW 51'!AP11</f>
        <v>0</v>
      </c>
    </row>
    <row r="358" spans="4:13">
      <c r="D358" s="130" t="s">
        <v>472</v>
      </c>
      <c r="E358" s="135">
        <f>'KW 51'!AH5</f>
        <v>0</v>
      </c>
      <c r="F358" s="138">
        <f>'KW 51'!AI5</f>
        <v>0</v>
      </c>
      <c r="G358" s="141">
        <f>'KW 51'!AJ5</f>
        <v>0</v>
      </c>
      <c r="H358" s="144">
        <f>'KW 51'!AK5</f>
        <v>0</v>
      </c>
      <c r="I358" s="147">
        <f>'KW 51'!AL5</f>
        <v>0</v>
      </c>
      <c r="J358" s="150">
        <f>'KW 51'!AM5</f>
        <v>0</v>
      </c>
      <c r="K358" s="153">
        <f>'KW 51'!AN5</f>
        <v>0</v>
      </c>
      <c r="L358" s="156">
        <f>'KW 51'!AO5</f>
        <v>0</v>
      </c>
      <c r="M358" s="159">
        <f>'KW 51'!AP5</f>
        <v>0</v>
      </c>
    </row>
    <row r="359" spans="4:13">
      <c r="D359" s="130" t="s">
        <v>473</v>
      </c>
      <c r="E359" s="135">
        <f>'KW 52'!AH6</f>
        <v>0</v>
      </c>
      <c r="F359" s="138">
        <f>'KW 52'!AI6</f>
        <v>0</v>
      </c>
      <c r="G359" s="141">
        <f>'KW 52'!AJ6</f>
        <v>0</v>
      </c>
      <c r="H359" s="144">
        <f>'KW 52'!AK6</f>
        <v>0</v>
      </c>
      <c r="I359" s="147">
        <f>'KW 52'!AL6</f>
        <v>0</v>
      </c>
      <c r="J359" s="150">
        <f>'KW 52'!AM6</f>
        <v>0</v>
      </c>
      <c r="K359" s="153">
        <f>'KW 52'!AN6</f>
        <v>0</v>
      </c>
      <c r="L359" s="156">
        <f>'KW 52'!AO6</f>
        <v>0</v>
      </c>
      <c r="M359" s="159">
        <f>'KW 52'!AP6</f>
        <v>0</v>
      </c>
    </row>
    <row r="360" spans="4:13">
      <c r="D360" s="130" t="s">
        <v>474</v>
      </c>
      <c r="E360" s="135">
        <f>'KW 52'!AH7</f>
        <v>0</v>
      </c>
      <c r="F360" s="138">
        <f>'KW 52'!AI7</f>
        <v>0</v>
      </c>
      <c r="G360" s="141">
        <f>'KW 52'!AJ7</f>
        <v>0</v>
      </c>
      <c r="H360" s="144">
        <f>'KW 52'!AK7</f>
        <v>0</v>
      </c>
      <c r="I360" s="147">
        <f>'KW 52'!AL7</f>
        <v>0</v>
      </c>
      <c r="J360" s="150">
        <f>'KW 52'!AM7</f>
        <v>0</v>
      </c>
      <c r="K360" s="153">
        <f>'KW 52'!AN7</f>
        <v>0</v>
      </c>
      <c r="L360" s="156">
        <f>'KW 52'!AO7</f>
        <v>0</v>
      </c>
      <c r="M360" s="159">
        <f>'KW 52'!AP7</f>
        <v>0</v>
      </c>
    </row>
    <row r="361" spans="4:13">
      <c r="D361" s="130" t="s">
        <v>475</v>
      </c>
      <c r="E361" s="135">
        <f>'KW 52'!AH8</f>
        <v>0</v>
      </c>
      <c r="F361" s="138">
        <f>'KW 52'!AI8</f>
        <v>0</v>
      </c>
      <c r="G361" s="141">
        <f>'KW 52'!AJ8</f>
        <v>0</v>
      </c>
      <c r="H361" s="144">
        <f>'KW 52'!AK8</f>
        <v>0</v>
      </c>
      <c r="I361" s="147">
        <f>'KW 52'!AL8</f>
        <v>0</v>
      </c>
      <c r="J361" s="150">
        <f>'KW 52'!AM8</f>
        <v>0</v>
      </c>
      <c r="K361" s="153">
        <f>'KW 52'!AN8</f>
        <v>0</v>
      </c>
      <c r="L361" s="156">
        <f>'KW 52'!AO8</f>
        <v>0</v>
      </c>
      <c r="M361" s="159">
        <f>'KW 52'!AP8</f>
        <v>0</v>
      </c>
    </row>
    <row r="362" spans="4:13">
      <c r="D362" s="130" t="s">
        <v>476</v>
      </c>
      <c r="E362" s="135">
        <f>'KW 52'!AH9</f>
        <v>0</v>
      </c>
      <c r="F362" s="138">
        <f>'KW 52'!AI9</f>
        <v>0</v>
      </c>
      <c r="G362" s="141">
        <f>'KW 52'!AJ9</f>
        <v>0</v>
      </c>
      <c r="H362" s="144">
        <f>'KW 52'!AK9</f>
        <v>0</v>
      </c>
      <c r="I362" s="147">
        <f>'KW 52'!AL9</f>
        <v>0</v>
      </c>
      <c r="J362" s="150">
        <f>'KW 52'!AM9</f>
        <v>0</v>
      </c>
      <c r="K362" s="153">
        <f>'KW 52'!AN9</f>
        <v>0</v>
      </c>
      <c r="L362" s="156">
        <f>'KW 52'!AO9</f>
        <v>0</v>
      </c>
      <c r="M362" s="159">
        <f>'KW 52'!AP9</f>
        <v>0</v>
      </c>
    </row>
    <row r="363" spans="4:13">
      <c r="D363" s="130" t="s">
        <v>477</v>
      </c>
      <c r="E363" s="135">
        <f>'KW 52'!AH10</f>
        <v>0</v>
      </c>
      <c r="F363" s="138">
        <f>'KW 52'!AI10</f>
        <v>0</v>
      </c>
      <c r="G363" s="141">
        <f>'KW 52'!AJ10</f>
        <v>0</v>
      </c>
      <c r="H363" s="144">
        <f>'KW 52'!AK10</f>
        <v>0</v>
      </c>
      <c r="I363" s="147">
        <f>'KW 52'!AL10</f>
        <v>0</v>
      </c>
      <c r="J363" s="150">
        <f>'KW 52'!AM10</f>
        <v>0</v>
      </c>
      <c r="K363" s="153">
        <f>'KW 52'!AN10</f>
        <v>0</v>
      </c>
      <c r="L363" s="156">
        <f>'KW 52'!AO10</f>
        <v>0</v>
      </c>
      <c r="M363" s="159">
        <f>'KW 52'!AP10</f>
        <v>0</v>
      </c>
    </row>
    <row r="364" spans="4:13">
      <c r="D364" s="130" t="s">
        <v>478</v>
      </c>
      <c r="E364" s="135">
        <f>'KW 52'!AH11</f>
        <v>0</v>
      </c>
      <c r="F364" s="138">
        <f>'KW 52'!AI11</f>
        <v>0</v>
      </c>
      <c r="G364" s="141">
        <f>'KW 52'!AJ11</f>
        <v>0</v>
      </c>
      <c r="H364" s="144">
        <f>'KW 52'!AK11</f>
        <v>0</v>
      </c>
      <c r="I364" s="147">
        <f>'KW 52'!AL11</f>
        <v>0</v>
      </c>
      <c r="J364" s="150">
        <f>'KW 52'!AM11</f>
        <v>0</v>
      </c>
      <c r="K364" s="153">
        <f>'KW 52'!AN11</f>
        <v>0</v>
      </c>
      <c r="L364" s="156">
        <f>'KW 52'!AO11</f>
        <v>0</v>
      </c>
      <c r="M364" s="159">
        <f>'KW 52'!AP11</f>
        <v>0</v>
      </c>
    </row>
    <row r="365" spans="4:13">
      <c r="D365" s="130" t="s">
        <v>479</v>
      </c>
      <c r="E365" s="135">
        <f>'KW 52'!AH5</f>
        <v>0</v>
      </c>
      <c r="F365" s="138">
        <f>'KW 52'!AI5</f>
        <v>0</v>
      </c>
      <c r="G365" s="141">
        <f>'KW 52'!AJ5</f>
        <v>0</v>
      </c>
      <c r="H365" s="144">
        <f>'KW 52'!AK5</f>
        <v>0</v>
      </c>
      <c r="I365" s="147">
        <f>'KW 52'!AL5</f>
        <v>0</v>
      </c>
      <c r="J365" s="150">
        <f>'KW 52'!AM5</f>
        <v>0</v>
      </c>
      <c r="K365" s="153">
        <f>'KW 52'!AN5</f>
        <v>0</v>
      </c>
      <c r="L365" s="156">
        <f>'KW 52'!AO5</f>
        <v>0</v>
      </c>
      <c r="M365" s="159">
        <f>'KW 52'!AP5</f>
        <v>0</v>
      </c>
    </row>
    <row r="366" spans="4:13">
      <c r="D366" s="130" t="s">
        <v>480</v>
      </c>
      <c r="E366" s="135">
        <f>'KW 53'!AH6</f>
        <v>0</v>
      </c>
      <c r="F366" s="138">
        <f>'KW 53'!AI6</f>
        <v>0</v>
      </c>
      <c r="G366" s="141">
        <f>'KW 53'!AJ6</f>
        <v>0</v>
      </c>
      <c r="H366" s="144">
        <f>'KW 53'!AK6</f>
        <v>0</v>
      </c>
      <c r="I366" s="147">
        <f>'KW 53'!AL6</f>
        <v>0</v>
      </c>
      <c r="J366" s="150">
        <f>'KW 53'!AM6</f>
        <v>0</v>
      </c>
      <c r="K366" s="153">
        <f>'KW 53'!AN6</f>
        <v>0</v>
      </c>
      <c r="L366" s="156">
        <f>'KW 53'!AO6</f>
        <v>0</v>
      </c>
      <c r="M366" s="159">
        <f>'KW 53'!AP6</f>
        <v>0</v>
      </c>
    </row>
    <row r="367" spans="4:13">
      <c r="D367" s="130" t="s">
        <v>481</v>
      </c>
      <c r="E367" s="135">
        <f>'KW 53'!AH7</f>
        <v>0</v>
      </c>
      <c r="F367" s="138">
        <f>'KW 53'!AI7</f>
        <v>0</v>
      </c>
      <c r="G367" s="141">
        <f>'KW 53'!AJ7</f>
        <v>0</v>
      </c>
      <c r="H367" s="144">
        <f>'KW 53'!AK7</f>
        <v>0</v>
      </c>
      <c r="I367" s="147">
        <f>'KW 53'!AL7</f>
        <v>0</v>
      </c>
      <c r="J367" s="150">
        <f>'KW 53'!AM7</f>
        <v>0</v>
      </c>
      <c r="K367" s="153">
        <f>'KW 53'!AN7</f>
        <v>0</v>
      </c>
      <c r="L367" s="156">
        <f>'KW 53'!AO7</f>
        <v>0</v>
      </c>
      <c r="M367" s="159">
        <f>'KW 53'!AP7</f>
        <v>0</v>
      </c>
    </row>
    <row r="368" spans="4:13">
      <c r="L368" s="155">
        <f>SUM(L337:L366)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29F56-2C84-4B78-A1D1-6413D0A28378}">
  <sheetPr codeName="Tabelle4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</v>
      </c>
      <c r="Q1" s="176"/>
      <c r="R1" s="79">
        <f>DATE(V1,1,7*P1-3-WEEKDAY(DATE(V1,,),3))</f>
        <v>45292</v>
      </c>
      <c r="S1" s="80" t="s">
        <v>1</v>
      </c>
      <c r="T1" s="177">
        <f>DATE(V1,1,7*P1+3-WEEKDAY(DATE(V1,,),3))</f>
        <v>45298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45292</v>
      </c>
      <c r="B2" s="178"/>
      <c r="C2" s="178"/>
      <c r="D2" s="178">
        <f>A2+1</f>
        <v>45293</v>
      </c>
      <c r="E2" s="179"/>
      <c r="F2" s="179"/>
      <c r="G2" s="178">
        <f>D2+1</f>
        <v>45294</v>
      </c>
      <c r="H2" s="179"/>
      <c r="I2" s="179"/>
      <c r="J2" s="178">
        <f>G2+1</f>
        <v>45295</v>
      </c>
      <c r="K2" s="179"/>
      <c r="L2" s="179"/>
      <c r="M2" s="178">
        <f>J2+1</f>
        <v>45296</v>
      </c>
      <c r="N2" s="179"/>
      <c r="O2" s="179"/>
      <c r="P2" s="178">
        <f>M2+1</f>
        <v>45297</v>
      </c>
      <c r="Q2" s="179"/>
      <c r="R2" s="179"/>
      <c r="S2" s="178">
        <f>P2+1</f>
        <v>45298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45292</v>
      </c>
      <c r="B3" s="168"/>
      <c r="C3" s="168"/>
      <c r="D3" s="168">
        <f>A3+1</f>
        <v>45293</v>
      </c>
      <c r="E3" s="168"/>
      <c r="F3" s="168"/>
      <c r="G3" s="168">
        <f>D3+1</f>
        <v>45294</v>
      </c>
      <c r="H3" s="168"/>
      <c r="I3" s="168"/>
      <c r="J3" s="168">
        <f>G3+1</f>
        <v>45295</v>
      </c>
      <c r="K3" s="168"/>
      <c r="L3" s="168"/>
      <c r="M3" s="168">
        <f>J3+1</f>
        <v>45296</v>
      </c>
      <c r="N3" s="168"/>
      <c r="O3" s="168"/>
      <c r="P3" s="168">
        <f>M3+1</f>
        <v>45297</v>
      </c>
      <c r="Q3" s="168"/>
      <c r="R3" s="168"/>
      <c r="S3" s="168">
        <f>P3+1</f>
        <v>45298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45292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45293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45294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45295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45296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45297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45298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Übersicht!P39</f>
        <v>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L1:N1"/>
    <mergeCell ref="P1:Q1"/>
    <mergeCell ref="T1:U1"/>
    <mergeCell ref="A2:C2"/>
    <mergeCell ref="D2:F2"/>
    <mergeCell ref="G2:I2"/>
    <mergeCell ref="J2:L2"/>
    <mergeCell ref="M2:O2"/>
    <mergeCell ref="P2:R2"/>
    <mergeCell ref="S2:U2"/>
    <mergeCell ref="E1:G1"/>
    <mergeCell ref="S3:U3"/>
    <mergeCell ref="V35:V36"/>
    <mergeCell ref="A37:B37"/>
    <mergeCell ref="D37:E37"/>
    <mergeCell ref="G37:H37"/>
    <mergeCell ref="J37:K37"/>
    <mergeCell ref="M37:N37"/>
    <mergeCell ref="P37:Q37"/>
    <mergeCell ref="S37:T37"/>
    <mergeCell ref="A3:C3"/>
    <mergeCell ref="D3:F3"/>
    <mergeCell ref="G3:I3"/>
    <mergeCell ref="J3:L3"/>
    <mergeCell ref="M3:O3"/>
    <mergeCell ref="P3:R3"/>
    <mergeCell ref="V16:V17"/>
  </mergeCells>
  <conditionalFormatting sqref="C5:C36">
    <cfRule type="expression" dxfId="9751" priority="237">
      <formula>COUNTIF(B5,"a")</formula>
    </cfRule>
    <cfRule type="expression" dxfId="9750" priority="539">
      <formula>COUNTIF(B5,"9")</formula>
    </cfRule>
    <cfRule type="expression" dxfId="9749" priority="805">
      <formula>COUNTIF(B5,"k")</formula>
    </cfRule>
    <cfRule type="expression" dxfId="9748" priority="806">
      <formula>COUNTIF(B5,"u")</formula>
    </cfRule>
    <cfRule type="expression" dxfId="9747" priority="809">
      <formula>COUNTIF(B5,"f")</formula>
    </cfRule>
    <cfRule type="expression" dxfId="9746" priority="810">
      <formula>COUNTIF(B5,"8")</formula>
    </cfRule>
    <cfRule type="expression" dxfId="9745" priority="811">
      <formula>COUNTIF(B5,"7")</formula>
    </cfRule>
    <cfRule type="expression" dxfId="9744" priority="812">
      <formula>COUNTIF(B5,"3")</formula>
    </cfRule>
    <cfRule type="expression" dxfId="9743" priority="828">
      <formula>COUNTIF(B5,"5")</formula>
    </cfRule>
    <cfRule type="expression" dxfId="9742" priority="829">
      <formula>COUNTIF(B5,"2")</formula>
    </cfRule>
    <cfRule type="expression" dxfId="9741" priority="830">
      <formula>COUNTIF(B5,"4")</formula>
    </cfRule>
    <cfRule type="expression" dxfId="9740" priority="831">
      <formula>COUNTIF(B5,"1")</formula>
    </cfRule>
  </conditionalFormatting>
  <conditionalFormatting sqref="B5:B36">
    <cfRule type="cellIs" dxfId="9739" priority="238" operator="equal">
      <formula>"a"</formula>
    </cfRule>
    <cfRule type="cellIs" dxfId="9738" priority="540" operator="equal">
      <formula>"k"</formula>
    </cfRule>
    <cfRule type="cellIs" dxfId="9737" priority="807" operator="equal">
      <formula>"u"</formula>
    </cfRule>
    <cfRule type="cellIs" dxfId="9736" priority="808" operator="equal">
      <formula>"f"</formula>
    </cfRule>
    <cfRule type="cellIs" dxfId="9735" priority="813" operator="equal">
      <formula>9</formula>
    </cfRule>
    <cfRule type="cellIs" dxfId="9734" priority="814" operator="equal">
      <formula>8</formula>
    </cfRule>
    <cfRule type="cellIs" dxfId="9733" priority="815" operator="equal">
      <formula>5</formula>
    </cfRule>
    <cfRule type="cellIs" dxfId="9732" priority="816" operator="equal">
      <formula>3</formula>
    </cfRule>
    <cfRule type="cellIs" dxfId="9731" priority="823" operator="equal">
      <formula>6</formula>
    </cfRule>
    <cfRule type="cellIs" dxfId="9730" priority="824" operator="equal">
      <formula>4</formula>
    </cfRule>
    <cfRule type="cellIs" dxfId="9729" priority="825" operator="equal">
      <formula>2</formula>
    </cfRule>
    <cfRule type="cellIs" dxfId="9728" priority="826" operator="equal">
      <formula>7</formula>
    </cfRule>
    <cfRule type="cellIs" dxfId="9727" priority="827" operator="equal">
      <formula>1</formula>
    </cfRule>
  </conditionalFormatting>
  <conditionalFormatting sqref="C5:C36">
    <cfRule type="expression" dxfId="9726" priority="822">
      <formula>COUNTIF(B5,"6")</formula>
    </cfRule>
  </conditionalFormatting>
  <conditionalFormatting sqref="E5:E36">
    <cfRule type="cellIs" dxfId="9725" priority="224" operator="equal">
      <formula>"a"</formula>
    </cfRule>
    <cfRule type="cellIs" dxfId="9724" priority="225" operator="equal">
      <formula>"k"</formula>
    </cfRule>
    <cfRule type="cellIs" dxfId="9723" priority="226" operator="equal">
      <formula>"u"</formula>
    </cfRule>
    <cfRule type="cellIs" dxfId="9722" priority="227" operator="equal">
      <formula>"f"</formula>
    </cfRule>
    <cfRule type="cellIs" dxfId="9721" priority="228" operator="equal">
      <formula>9</formula>
    </cfRule>
    <cfRule type="cellIs" dxfId="9720" priority="229" operator="equal">
      <formula>8</formula>
    </cfRule>
    <cfRule type="cellIs" dxfId="9719" priority="230" operator="equal">
      <formula>5</formula>
    </cfRule>
    <cfRule type="cellIs" dxfId="9718" priority="231" operator="equal">
      <formula>3</formula>
    </cfRule>
    <cfRule type="cellIs" dxfId="9717" priority="232" operator="equal">
      <formula>6</formula>
    </cfRule>
    <cfRule type="cellIs" dxfId="9716" priority="233" operator="equal">
      <formula>4</formula>
    </cfRule>
    <cfRule type="cellIs" dxfId="9715" priority="234" operator="equal">
      <formula>2</formula>
    </cfRule>
    <cfRule type="cellIs" dxfId="9714" priority="235" operator="equal">
      <formula>7</formula>
    </cfRule>
    <cfRule type="cellIs" dxfId="9713" priority="236" operator="equal">
      <formula>1</formula>
    </cfRule>
  </conditionalFormatting>
  <conditionalFormatting sqref="H5:H36">
    <cfRule type="cellIs" dxfId="9712" priority="211" operator="equal">
      <formula>"a"</formula>
    </cfRule>
    <cfRule type="cellIs" dxfId="9711" priority="212" operator="equal">
      <formula>"k"</formula>
    </cfRule>
    <cfRule type="cellIs" dxfId="9710" priority="213" operator="equal">
      <formula>"u"</formula>
    </cfRule>
    <cfRule type="cellIs" dxfId="9709" priority="214" operator="equal">
      <formula>"f"</formula>
    </cfRule>
    <cfRule type="cellIs" dxfId="9708" priority="215" operator="equal">
      <formula>9</formula>
    </cfRule>
    <cfRule type="cellIs" dxfId="9707" priority="216" operator="equal">
      <formula>8</formula>
    </cfRule>
    <cfRule type="cellIs" dxfId="9706" priority="217" operator="equal">
      <formula>5</formula>
    </cfRule>
    <cfRule type="cellIs" dxfId="9705" priority="218" operator="equal">
      <formula>3</formula>
    </cfRule>
    <cfRule type="cellIs" dxfId="9704" priority="219" operator="equal">
      <formula>6</formula>
    </cfRule>
    <cfRule type="cellIs" dxfId="9703" priority="220" operator="equal">
      <formula>4</formula>
    </cfRule>
    <cfRule type="cellIs" dxfId="9702" priority="221" operator="equal">
      <formula>2</formula>
    </cfRule>
    <cfRule type="cellIs" dxfId="9701" priority="222" operator="equal">
      <formula>7</formula>
    </cfRule>
    <cfRule type="cellIs" dxfId="9700" priority="223" operator="equal">
      <formula>1</formula>
    </cfRule>
  </conditionalFormatting>
  <conditionalFormatting sqref="K5:K36">
    <cfRule type="cellIs" dxfId="9699" priority="198" operator="equal">
      <formula>"a"</formula>
    </cfRule>
    <cfRule type="cellIs" dxfId="9698" priority="199" operator="equal">
      <formula>"k"</formula>
    </cfRule>
    <cfRule type="cellIs" dxfId="9697" priority="200" operator="equal">
      <formula>"u"</formula>
    </cfRule>
    <cfRule type="cellIs" dxfId="9696" priority="201" operator="equal">
      <formula>"f"</formula>
    </cfRule>
    <cfRule type="cellIs" dxfId="9695" priority="202" operator="equal">
      <formula>9</formula>
    </cfRule>
    <cfRule type="cellIs" dxfId="9694" priority="203" operator="equal">
      <formula>8</formula>
    </cfRule>
    <cfRule type="cellIs" dxfId="9693" priority="204" operator="equal">
      <formula>5</formula>
    </cfRule>
    <cfRule type="cellIs" dxfId="9692" priority="205" operator="equal">
      <formula>3</formula>
    </cfRule>
    <cfRule type="cellIs" dxfId="9691" priority="206" operator="equal">
      <formula>6</formula>
    </cfRule>
    <cfRule type="cellIs" dxfId="9690" priority="207" operator="equal">
      <formula>4</formula>
    </cfRule>
    <cfRule type="cellIs" dxfId="9689" priority="208" operator="equal">
      <formula>2</formula>
    </cfRule>
    <cfRule type="cellIs" dxfId="9688" priority="209" operator="equal">
      <formula>7</formula>
    </cfRule>
    <cfRule type="cellIs" dxfId="9687" priority="210" operator="equal">
      <formula>1</formula>
    </cfRule>
  </conditionalFormatting>
  <conditionalFormatting sqref="N5:N36">
    <cfRule type="cellIs" dxfId="9686" priority="185" operator="equal">
      <formula>"a"</formula>
    </cfRule>
    <cfRule type="cellIs" dxfId="9685" priority="186" operator="equal">
      <formula>"k"</formula>
    </cfRule>
    <cfRule type="cellIs" dxfId="9684" priority="187" operator="equal">
      <formula>"u"</formula>
    </cfRule>
    <cfRule type="cellIs" dxfId="9683" priority="188" operator="equal">
      <formula>"f"</formula>
    </cfRule>
    <cfRule type="cellIs" dxfId="9682" priority="189" operator="equal">
      <formula>9</formula>
    </cfRule>
    <cfRule type="cellIs" dxfId="9681" priority="190" operator="equal">
      <formula>8</formula>
    </cfRule>
    <cfRule type="cellIs" dxfId="9680" priority="191" operator="equal">
      <formula>5</formula>
    </cfRule>
    <cfRule type="cellIs" dxfId="9679" priority="192" operator="equal">
      <formula>3</formula>
    </cfRule>
    <cfRule type="cellIs" dxfId="9678" priority="193" operator="equal">
      <formula>6</formula>
    </cfRule>
    <cfRule type="cellIs" dxfId="9677" priority="194" operator="equal">
      <formula>4</formula>
    </cfRule>
    <cfRule type="cellIs" dxfId="9676" priority="195" operator="equal">
      <formula>2</formula>
    </cfRule>
    <cfRule type="cellIs" dxfId="9675" priority="196" operator="equal">
      <formula>7</formula>
    </cfRule>
    <cfRule type="cellIs" dxfId="9674" priority="197" operator="equal">
      <formula>1</formula>
    </cfRule>
  </conditionalFormatting>
  <conditionalFormatting sqref="Q5:Q36">
    <cfRule type="cellIs" dxfId="9673" priority="172" operator="equal">
      <formula>"a"</formula>
    </cfRule>
    <cfRule type="cellIs" dxfId="9672" priority="173" operator="equal">
      <formula>"k"</formula>
    </cfRule>
    <cfRule type="cellIs" dxfId="9671" priority="174" operator="equal">
      <formula>"u"</formula>
    </cfRule>
    <cfRule type="cellIs" dxfId="9670" priority="175" operator="equal">
      <formula>"f"</formula>
    </cfRule>
    <cfRule type="cellIs" dxfId="9669" priority="176" operator="equal">
      <formula>9</formula>
    </cfRule>
    <cfRule type="cellIs" dxfId="9668" priority="177" operator="equal">
      <formula>8</formula>
    </cfRule>
    <cfRule type="cellIs" dxfId="9667" priority="178" operator="equal">
      <formula>5</formula>
    </cfRule>
    <cfRule type="cellIs" dxfId="9666" priority="179" operator="equal">
      <formula>3</formula>
    </cfRule>
    <cfRule type="cellIs" dxfId="9665" priority="180" operator="equal">
      <formula>6</formula>
    </cfRule>
    <cfRule type="cellIs" dxfId="9664" priority="181" operator="equal">
      <formula>4</formula>
    </cfRule>
    <cfRule type="cellIs" dxfId="9663" priority="182" operator="equal">
      <formula>2</formula>
    </cfRule>
    <cfRule type="cellIs" dxfId="9662" priority="183" operator="equal">
      <formula>7</formula>
    </cfRule>
    <cfRule type="cellIs" dxfId="9661" priority="184" operator="equal">
      <formula>1</formula>
    </cfRule>
  </conditionalFormatting>
  <conditionalFormatting sqref="T5:T36">
    <cfRule type="cellIs" dxfId="9660" priority="159" operator="equal">
      <formula>"a"</formula>
    </cfRule>
    <cfRule type="cellIs" dxfId="9659" priority="160" operator="equal">
      <formula>"k"</formula>
    </cfRule>
    <cfRule type="cellIs" dxfId="9658" priority="161" operator="equal">
      <formula>"u"</formula>
    </cfRule>
    <cfRule type="cellIs" dxfId="9657" priority="162" operator="equal">
      <formula>"f"</formula>
    </cfRule>
    <cfRule type="cellIs" dxfId="9656" priority="163" operator="equal">
      <formula>9</formula>
    </cfRule>
    <cfRule type="cellIs" dxfId="9655" priority="164" operator="equal">
      <formula>8</formula>
    </cfRule>
    <cfRule type="cellIs" dxfId="9654" priority="165" operator="equal">
      <formula>5</formula>
    </cfRule>
    <cfRule type="cellIs" dxfId="9653" priority="166" operator="equal">
      <formula>3</formula>
    </cfRule>
    <cfRule type="cellIs" dxfId="9652" priority="167" operator="equal">
      <formula>6</formula>
    </cfRule>
    <cfRule type="cellIs" dxfId="9651" priority="168" operator="equal">
      <formula>4</formula>
    </cfRule>
    <cfRule type="cellIs" dxfId="9650" priority="169" operator="equal">
      <formula>2</formula>
    </cfRule>
    <cfRule type="cellIs" dxfId="9649" priority="170" operator="equal">
      <formula>7</formula>
    </cfRule>
    <cfRule type="cellIs" dxfId="9648" priority="171" operator="equal">
      <formula>1</formula>
    </cfRule>
  </conditionalFormatting>
  <conditionalFormatting sqref="F5:F36">
    <cfRule type="expression" dxfId="9647" priority="68">
      <formula>COUNTIF(E5,"a")</formula>
    </cfRule>
    <cfRule type="expression" dxfId="9646" priority="69">
      <formula>COUNTIF(E5,"9")</formula>
    </cfRule>
    <cfRule type="expression" dxfId="9645" priority="70">
      <formula>COUNTIF(E5,"k")</formula>
    </cfRule>
    <cfRule type="expression" dxfId="9644" priority="71">
      <formula>COUNTIF(E5,"u")</formula>
    </cfRule>
    <cfRule type="expression" dxfId="9643" priority="72">
      <formula>COUNTIF(E5,"f")</formula>
    </cfRule>
    <cfRule type="expression" dxfId="9642" priority="73">
      <formula>COUNTIF(E5,"8")</formula>
    </cfRule>
    <cfRule type="expression" dxfId="9641" priority="74">
      <formula>COUNTIF(E5,"7")</formula>
    </cfRule>
    <cfRule type="expression" dxfId="9640" priority="75">
      <formula>COUNTIF(E5,"3")</formula>
    </cfRule>
    <cfRule type="expression" dxfId="9639" priority="77">
      <formula>COUNTIF(E5,"5")</formula>
    </cfRule>
    <cfRule type="expression" dxfId="9638" priority="78">
      <formula>COUNTIF(E5,"2")</formula>
    </cfRule>
    <cfRule type="expression" dxfId="9637" priority="79">
      <formula>COUNTIF(E5,"4")</formula>
    </cfRule>
    <cfRule type="expression" dxfId="9636" priority="80">
      <formula>COUNTIF(E5,"1")</formula>
    </cfRule>
  </conditionalFormatting>
  <conditionalFormatting sqref="F5:F36">
    <cfRule type="expression" dxfId="9635" priority="76">
      <formula>COUNTIF(E5,"6")</formula>
    </cfRule>
  </conditionalFormatting>
  <conditionalFormatting sqref="I5:I36">
    <cfRule type="expression" dxfId="9634" priority="55">
      <formula>COUNTIF(H5,"a")</formula>
    </cfRule>
    <cfRule type="expression" dxfId="9633" priority="56">
      <formula>COUNTIF(H5,"9")</formula>
    </cfRule>
    <cfRule type="expression" dxfId="9632" priority="57">
      <formula>COUNTIF(H5,"k")</formula>
    </cfRule>
    <cfRule type="expression" dxfId="9631" priority="58">
      <formula>COUNTIF(H5,"u")</formula>
    </cfRule>
    <cfRule type="expression" dxfId="9630" priority="59">
      <formula>COUNTIF(H5,"f")</formula>
    </cfRule>
    <cfRule type="expression" dxfId="9629" priority="60">
      <formula>COUNTIF(H5,"8")</formula>
    </cfRule>
    <cfRule type="expression" dxfId="9628" priority="61">
      <formula>COUNTIF(H5,"7")</formula>
    </cfRule>
    <cfRule type="expression" dxfId="9627" priority="62">
      <formula>COUNTIF(H5,"3")</formula>
    </cfRule>
    <cfRule type="expression" dxfId="9626" priority="64">
      <formula>COUNTIF(H5,"5")</formula>
    </cfRule>
    <cfRule type="expression" dxfId="9625" priority="65">
      <formula>COUNTIF(H5,"2")</formula>
    </cfRule>
    <cfRule type="expression" dxfId="9624" priority="66">
      <formula>COUNTIF(H5,"4")</formula>
    </cfRule>
    <cfRule type="expression" dxfId="9623" priority="67">
      <formula>COUNTIF(H5,"1")</formula>
    </cfRule>
  </conditionalFormatting>
  <conditionalFormatting sqref="I5:I36">
    <cfRule type="expression" dxfId="9622" priority="63">
      <formula>COUNTIF(H5,"6")</formula>
    </cfRule>
  </conditionalFormatting>
  <conditionalFormatting sqref="L5:L36">
    <cfRule type="expression" dxfId="9621" priority="42">
      <formula>COUNTIF(K5,"a")</formula>
    </cfRule>
    <cfRule type="expression" dxfId="9620" priority="43">
      <formula>COUNTIF(K5,"9")</formula>
    </cfRule>
    <cfRule type="expression" dxfId="9619" priority="44">
      <formula>COUNTIF(K5,"k")</formula>
    </cfRule>
    <cfRule type="expression" dxfId="9618" priority="45">
      <formula>COUNTIF(K5,"u")</formula>
    </cfRule>
    <cfRule type="expression" dxfId="9617" priority="46">
      <formula>COUNTIF(K5,"f")</formula>
    </cfRule>
    <cfRule type="expression" dxfId="9616" priority="47">
      <formula>COUNTIF(K5,"8")</formula>
    </cfRule>
    <cfRule type="expression" dxfId="9615" priority="48">
      <formula>COUNTIF(K5,"7")</formula>
    </cfRule>
    <cfRule type="expression" dxfId="9614" priority="49">
      <formula>COUNTIF(K5,"3")</formula>
    </cfRule>
    <cfRule type="expression" dxfId="9613" priority="51">
      <formula>COUNTIF(K5,"5")</formula>
    </cfRule>
    <cfRule type="expression" dxfId="9612" priority="52">
      <formula>COUNTIF(K5,"2")</formula>
    </cfRule>
    <cfRule type="expression" dxfId="9611" priority="53">
      <formula>COUNTIF(K5,"4")</formula>
    </cfRule>
    <cfRule type="expression" dxfId="9610" priority="54">
      <formula>COUNTIF(K5,"1")</formula>
    </cfRule>
  </conditionalFormatting>
  <conditionalFormatting sqref="L5:L36">
    <cfRule type="expression" dxfId="9609" priority="50">
      <formula>COUNTIF(K5,"6")</formula>
    </cfRule>
  </conditionalFormatting>
  <conditionalFormatting sqref="O5:O36">
    <cfRule type="expression" dxfId="9608" priority="29">
      <formula>COUNTIF(N5,"a")</formula>
    </cfRule>
    <cfRule type="expression" dxfId="9607" priority="30">
      <formula>COUNTIF(N5,"9")</formula>
    </cfRule>
    <cfRule type="expression" dxfId="9606" priority="31">
      <formula>COUNTIF(N5,"k")</formula>
    </cfRule>
    <cfRule type="expression" dxfId="9605" priority="32">
      <formula>COUNTIF(N5,"u")</formula>
    </cfRule>
    <cfRule type="expression" dxfId="9604" priority="33">
      <formula>COUNTIF(N5,"f")</formula>
    </cfRule>
    <cfRule type="expression" dxfId="9603" priority="34">
      <formula>COUNTIF(N5,"8")</formula>
    </cfRule>
    <cfRule type="expression" dxfId="9602" priority="35">
      <formula>COUNTIF(N5,"7")</formula>
    </cfRule>
    <cfRule type="expression" dxfId="9601" priority="36">
      <formula>COUNTIF(N5,"3")</formula>
    </cfRule>
    <cfRule type="expression" dxfId="9600" priority="38">
      <formula>COUNTIF(N5,"5")</formula>
    </cfRule>
    <cfRule type="expression" dxfId="9599" priority="39">
      <formula>COUNTIF(N5,"2")</formula>
    </cfRule>
    <cfRule type="expression" dxfId="9598" priority="40">
      <formula>COUNTIF(N5,"4")</formula>
    </cfRule>
    <cfRule type="expression" dxfId="9597" priority="41">
      <formula>COUNTIF(N5,"1")</formula>
    </cfRule>
  </conditionalFormatting>
  <conditionalFormatting sqref="O5:O36">
    <cfRule type="expression" dxfId="9596" priority="37">
      <formula>COUNTIF(N5,"6")</formula>
    </cfRule>
  </conditionalFormatting>
  <conditionalFormatting sqref="R5:R36">
    <cfRule type="expression" dxfId="9595" priority="16">
      <formula>COUNTIF(Q5,"a")</formula>
    </cfRule>
    <cfRule type="expression" dxfId="9594" priority="17">
      <formula>COUNTIF(Q5,"9")</formula>
    </cfRule>
    <cfRule type="expression" dxfId="9593" priority="18">
      <formula>COUNTIF(Q5,"k")</formula>
    </cfRule>
    <cfRule type="expression" dxfId="9592" priority="19">
      <formula>COUNTIF(Q5,"u")</formula>
    </cfRule>
    <cfRule type="expression" dxfId="9591" priority="20">
      <formula>COUNTIF(Q5,"f")</formula>
    </cfRule>
    <cfRule type="expression" dxfId="9590" priority="21">
      <formula>COUNTIF(Q5,"8")</formula>
    </cfRule>
    <cfRule type="expression" dxfId="9589" priority="22">
      <formula>COUNTIF(Q5,"7")</formula>
    </cfRule>
    <cfRule type="expression" dxfId="9588" priority="23">
      <formula>COUNTIF(Q5,"3")</formula>
    </cfRule>
    <cfRule type="expression" dxfId="9587" priority="25">
      <formula>COUNTIF(Q5,"5")</formula>
    </cfRule>
    <cfRule type="expression" dxfId="9586" priority="26">
      <formula>COUNTIF(Q5,"2")</formula>
    </cfRule>
    <cfRule type="expression" dxfId="9585" priority="27">
      <formula>COUNTIF(Q5,"4")</formula>
    </cfRule>
    <cfRule type="expression" dxfId="9584" priority="28">
      <formula>COUNTIF(Q5,"1")</formula>
    </cfRule>
  </conditionalFormatting>
  <conditionalFormatting sqref="R5:R36">
    <cfRule type="expression" dxfId="9583" priority="24">
      <formula>COUNTIF(Q5,"6")</formula>
    </cfRule>
  </conditionalFormatting>
  <conditionalFormatting sqref="U5:U36">
    <cfRule type="expression" dxfId="9582" priority="3">
      <formula>COUNTIF(T5,"a")</formula>
    </cfRule>
    <cfRule type="expression" dxfId="9581" priority="4">
      <formula>COUNTIF(T5,"9")</formula>
    </cfRule>
    <cfRule type="expression" dxfId="9580" priority="5">
      <formula>COUNTIF(T5,"k")</formula>
    </cfRule>
    <cfRule type="expression" dxfId="9579" priority="6">
      <formula>COUNTIF(T5,"u")</formula>
    </cfRule>
    <cfRule type="expression" dxfId="9578" priority="7">
      <formula>COUNTIF(T5,"f")</formula>
    </cfRule>
    <cfRule type="expression" dxfId="9577" priority="8">
      <formula>COUNTIF(T5,"8")</formula>
    </cfRule>
    <cfRule type="expression" dxfId="9576" priority="9">
      <formula>COUNTIF(T5,"7")</formula>
    </cfRule>
    <cfRule type="expression" dxfId="9575" priority="10">
      <formula>COUNTIF(T5,"3")</formula>
    </cfRule>
    <cfRule type="expression" dxfId="9574" priority="12">
      <formula>COUNTIF(T5,"5")</formula>
    </cfRule>
    <cfRule type="expression" dxfId="9573" priority="13">
      <formula>COUNTIF(T5,"2")</formula>
    </cfRule>
    <cfRule type="expression" dxfId="9572" priority="14">
      <formula>COUNTIF(T5,"4")</formula>
    </cfRule>
    <cfRule type="expression" dxfId="9571" priority="15">
      <formula>COUNTIF(T5,"1")</formula>
    </cfRule>
  </conditionalFormatting>
  <conditionalFormatting sqref="U5:U36">
    <cfRule type="expression" dxfId="9570" priority="11">
      <formula>COUNTIF(T5,"6")</formula>
    </cfRule>
  </conditionalFormatting>
  <conditionalFormatting sqref="V32">
    <cfRule type="cellIs" dxfId="9569" priority="1" operator="lessThan">
      <formula>0</formula>
    </cfRule>
    <cfRule type="cellIs" dxfId="956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1BF730C3-B17B-4249-8411-A4A1A46525D8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AC04-2D96-104E-A7D4-7F40CD60A388}">
  <sheetPr codeName="Tabelle4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</v>
      </c>
      <c r="Q1" s="176"/>
      <c r="R1" s="79">
        <f>DATE(V1,1,7*P1-3-WEEKDAY(DATE(V1,,),3))</f>
        <v>45299</v>
      </c>
      <c r="S1" s="80" t="s">
        <v>1</v>
      </c>
      <c r="T1" s="177">
        <f>DATE(V1,1,7*P1+3-WEEKDAY(DATE(V1,,),3))</f>
        <v>45305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45299</v>
      </c>
      <c r="B2" s="178"/>
      <c r="C2" s="178"/>
      <c r="D2" s="178">
        <f>A2+1</f>
        <v>45300</v>
      </c>
      <c r="E2" s="179"/>
      <c r="F2" s="179"/>
      <c r="G2" s="178">
        <f>D2+1</f>
        <v>45301</v>
      </c>
      <c r="H2" s="179"/>
      <c r="I2" s="179"/>
      <c r="J2" s="178">
        <f>G2+1</f>
        <v>45302</v>
      </c>
      <c r="K2" s="179"/>
      <c r="L2" s="179"/>
      <c r="M2" s="178">
        <f>J2+1</f>
        <v>45303</v>
      </c>
      <c r="N2" s="179"/>
      <c r="O2" s="179"/>
      <c r="P2" s="178">
        <f>M2+1</f>
        <v>45304</v>
      </c>
      <c r="Q2" s="179"/>
      <c r="R2" s="179"/>
      <c r="S2" s="178">
        <f>P2+1</f>
        <v>45305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45299</v>
      </c>
      <c r="B3" s="168"/>
      <c r="C3" s="168"/>
      <c r="D3" s="168">
        <f>A3+1</f>
        <v>45300</v>
      </c>
      <c r="E3" s="168"/>
      <c r="F3" s="168"/>
      <c r="G3" s="168">
        <f>D3+1</f>
        <v>45301</v>
      </c>
      <c r="H3" s="168"/>
      <c r="I3" s="168"/>
      <c r="J3" s="168">
        <f>G3+1</f>
        <v>45302</v>
      </c>
      <c r="K3" s="168"/>
      <c r="L3" s="168"/>
      <c r="M3" s="168">
        <f>J3+1</f>
        <v>45303</v>
      </c>
      <c r="N3" s="168"/>
      <c r="O3" s="168"/>
      <c r="P3" s="168">
        <f>M3+1</f>
        <v>45304</v>
      </c>
      <c r="Q3" s="168"/>
      <c r="R3" s="168"/>
      <c r="S3" s="168">
        <f>P3+1</f>
        <v>45305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45299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45300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45301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45302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45303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45304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45305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1'!V32</f>
        <v>-40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9567" priority="159">
      <formula>COUNTIF(B5,"a")</formula>
    </cfRule>
    <cfRule type="expression" dxfId="9566" priority="161">
      <formula>COUNTIF(B5,"9")</formula>
    </cfRule>
    <cfRule type="expression" dxfId="9565" priority="163">
      <formula>COUNTIF(B5,"k")</formula>
    </cfRule>
    <cfRule type="expression" dxfId="9564" priority="164">
      <formula>COUNTIF(B5,"u")</formula>
    </cfRule>
    <cfRule type="expression" dxfId="9563" priority="167">
      <formula>COUNTIF(B5,"f")</formula>
    </cfRule>
    <cfRule type="expression" dxfId="9562" priority="168">
      <formula>COUNTIF(B5,"8")</formula>
    </cfRule>
    <cfRule type="expression" dxfId="9561" priority="169">
      <formula>COUNTIF(B5,"7")</formula>
    </cfRule>
    <cfRule type="expression" dxfId="9560" priority="170">
      <formula>COUNTIF(B5,"3")</formula>
    </cfRule>
    <cfRule type="expression" dxfId="9559" priority="181">
      <formula>COUNTIF(B5,"5")</formula>
    </cfRule>
    <cfRule type="expression" dxfId="9558" priority="182">
      <formula>COUNTIF(B5,"2")</formula>
    </cfRule>
    <cfRule type="expression" dxfId="9557" priority="183">
      <formula>COUNTIF(B5,"4")</formula>
    </cfRule>
    <cfRule type="expression" dxfId="9556" priority="184">
      <formula>COUNTIF(B5,"1")</formula>
    </cfRule>
  </conditionalFormatting>
  <conditionalFormatting sqref="B5:B36">
    <cfRule type="cellIs" dxfId="9555" priority="160" operator="equal">
      <formula>"a"</formula>
    </cfRule>
    <cfRule type="cellIs" dxfId="9554" priority="162" operator="equal">
      <formula>"k"</formula>
    </cfRule>
    <cfRule type="cellIs" dxfId="9553" priority="165" operator="equal">
      <formula>"u"</formula>
    </cfRule>
    <cfRule type="cellIs" dxfId="9552" priority="166" operator="equal">
      <formula>"f"</formula>
    </cfRule>
    <cfRule type="cellIs" dxfId="9551" priority="171" operator="equal">
      <formula>9</formula>
    </cfRule>
    <cfRule type="cellIs" dxfId="9550" priority="172" operator="equal">
      <formula>8</formula>
    </cfRule>
    <cfRule type="cellIs" dxfId="9549" priority="173" operator="equal">
      <formula>5</formula>
    </cfRule>
    <cfRule type="cellIs" dxfId="9548" priority="174" operator="equal">
      <formula>3</formula>
    </cfRule>
    <cfRule type="cellIs" dxfId="9547" priority="176" operator="equal">
      <formula>6</formula>
    </cfRule>
    <cfRule type="cellIs" dxfId="9546" priority="177" operator="equal">
      <formula>4</formula>
    </cfRule>
    <cfRule type="cellIs" dxfId="9545" priority="178" operator="equal">
      <formula>2</formula>
    </cfRule>
    <cfRule type="cellIs" dxfId="9544" priority="179" operator="equal">
      <formula>7</formula>
    </cfRule>
    <cfRule type="cellIs" dxfId="9543" priority="180" operator="equal">
      <formula>1</formula>
    </cfRule>
  </conditionalFormatting>
  <conditionalFormatting sqref="C5:C36">
    <cfRule type="expression" dxfId="9542" priority="175">
      <formula>COUNTIF(B5,"6")</formula>
    </cfRule>
  </conditionalFormatting>
  <conditionalFormatting sqref="E5:E36">
    <cfRule type="cellIs" dxfId="9541" priority="146" operator="equal">
      <formula>"a"</formula>
    </cfRule>
    <cfRule type="cellIs" dxfId="9540" priority="147" operator="equal">
      <formula>"k"</formula>
    </cfRule>
    <cfRule type="cellIs" dxfId="9539" priority="148" operator="equal">
      <formula>"u"</formula>
    </cfRule>
    <cfRule type="cellIs" dxfId="9538" priority="149" operator="equal">
      <formula>"f"</formula>
    </cfRule>
    <cfRule type="cellIs" dxfId="9537" priority="150" operator="equal">
      <formula>9</formula>
    </cfRule>
    <cfRule type="cellIs" dxfId="9536" priority="151" operator="equal">
      <formula>8</formula>
    </cfRule>
    <cfRule type="cellIs" dxfId="9535" priority="152" operator="equal">
      <formula>5</formula>
    </cfRule>
    <cfRule type="cellIs" dxfId="9534" priority="153" operator="equal">
      <formula>3</formula>
    </cfRule>
    <cfRule type="cellIs" dxfId="9533" priority="154" operator="equal">
      <formula>6</formula>
    </cfRule>
    <cfRule type="cellIs" dxfId="9532" priority="155" operator="equal">
      <formula>4</formula>
    </cfRule>
    <cfRule type="cellIs" dxfId="9531" priority="156" operator="equal">
      <formula>2</formula>
    </cfRule>
    <cfRule type="cellIs" dxfId="9530" priority="157" operator="equal">
      <formula>7</formula>
    </cfRule>
    <cfRule type="cellIs" dxfId="9529" priority="158" operator="equal">
      <formula>1</formula>
    </cfRule>
  </conditionalFormatting>
  <conditionalFormatting sqref="H5:H36">
    <cfRule type="cellIs" dxfId="9528" priority="133" operator="equal">
      <formula>"a"</formula>
    </cfRule>
    <cfRule type="cellIs" dxfId="9527" priority="134" operator="equal">
      <formula>"k"</formula>
    </cfRule>
    <cfRule type="cellIs" dxfId="9526" priority="135" operator="equal">
      <formula>"u"</formula>
    </cfRule>
    <cfRule type="cellIs" dxfId="9525" priority="136" operator="equal">
      <formula>"f"</formula>
    </cfRule>
    <cfRule type="cellIs" dxfId="9524" priority="137" operator="equal">
      <formula>9</formula>
    </cfRule>
    <cfRule type="cellIs" dxfId="9523" priority="138" operator="equal">
      <formula>8</formula>
    </cfRule>
    <cfRule type="cellIs" dxfId="9522" priority="139" operator="equal">
      <formula>5</formula>
    </cfRule>
    <cfRule type="cellIs" dxfId="9521" priority="140" operator="equal">
      <formula>3</formula>
    </cfRule>
    <cfRule type="cellIs" dxfId="9520" priority="141" operator="equal">
      <formula>6</formula>
    </cfRule>
    <cfRule type="cellIs" dxfId="9519" priority="142" operator="equal">
      <formula>4</formula>
    </cfRule>
    <cfRule type="cellIs" dxfId="9518" priority="143" operator="equal">
      <formula>2</formula>
    </cfRule>
    <cfRule type="cellIs" dxfId="9517" priority="144" operator="equal">
      <formula>7</formula>
    </cfRule>
    <cfRule type="cellIs" dxfId="9516" priority="145" operator="equal">
      <formula>1</formula>
    </cfRule>
  </conditionalFormatting>
  <conditionalFormatting sqref="K5:K36">
    <cfRule type="cellIs" dxfId="9515" priority="120" operator="equal">
      <formula>"a"</formula>
    </cfRule>
    <cfRule type="cellIs" dxfId="9514" priority="121" operator="equal">
      <formula>"k"</formula>
    </cfRule>
    <cfRule type="cellIs" dxfId="9513" priority="122" operator="equal">
      <formula>"u"</formula>
    </cfRule>
    <cfRule type="cellIs" dxfId="9512" priority="123" operator="equal">
      <formula>"f"</formula>
    </cfRule>
    <cfRule type="cellIs" dxfId="9511" priority="124" operator="equal">
      <formula>9</formula>
    </cfRule>
    <cfRule type="cellIs" dxfId="9510" priority="125" operator="equal">
      <formula>8</formula>
    </cfRule>
    <cfRule type="cellIs" dxfId="9509" priority="126" operator="equal">
      <formula>5</formula>
    </cfRule>
    <cfRule type="cellIs" dxfId="9508" priority="127" operator="equal">
      <formula>3</formula>
    </cfRule>
    <cfRule type="cellIs" dxfId="9507" priority="128" operator="equal">
      <formula>6</formula>
    </cfRule>
    <cfRule type="cellIs" dxfId="9506" priority="129" operator="equal">
      <formula>4</formula>
    </cfRule>
    <cfRule type="cellIs" dxfId="9505" priority="130" operator="equal">
      <formula>2</formula>
    </cfRule>
    <cfRule type="cellIs" dxfId="9504" priority="131" operator="equal">
      <formula>7</formula>
    </cfRule>
    <cfRule type="cellIs" dxfId="9503" priority="132" operator="equal">
      <formula>1</formula>
    </cfRule>
  </conditionalFormatting>
  <conditionalFormatting sqref="N5:N36">
    <cfRule type="cellIs" dxfId="9502" priority="107" operator="equal">
      <formula>"a"</formula>
    </cfRule>
    <cfRule type="cellIs" dxfId="9501" priority="108" operator="equal">
      <formula>"k"</formula>
    </cfRule>
    <cfRule type="cellIs" dxfId="9500" priority="109" operator="equal">
      <formula>"u"</formula>
    </cfRule>
    <cfRule type="cellIs" dxfId="9499" priority="110" operator="equal">
      <formula>"f"</formula>
    </cfRule>
    <cfRule type="cellIs" dxfId="9498" priority="111" operator="equal">
      <formula>9</formula>
    </cfRule>
    <cfRule type="cellIs" dxfId="9497" priority="112" operator="equal">
      <formula>8</formula>
    </cfRule>
    <cfRule type="cellIs" dxfId="9496" priority="113" operator="equal">
      <formula>5</formula>
    </cfRule>
    <cfRule type="cellIs" dxfId="9495" priority="114" operator="equal">
      <formula>3</formula>
    </cfRule>
    <cfRule type="cellIs" dxfId="9494" priority="115" operator="equal">
      <formula>6</formula>
    </cfRule>
    <cfRule type="cellIs" dxfId="9493" priority="116" operator="equal">
      <formula>4</formula>
    </cfRule>
    <cfRule type="cellIs" dxfId="9492" priority="117" operator="equal">
      <formula>2</formula>
    </cfRule>
    <cfRule type="cellIs" dxfId="9491" priority="118" operator="equal">
      <formula>7</formula>
    </cfRule>
    <cfRule type="cellIs" dxfId="9490" priority="119" operator="equal">
      <formula>1</formula>
    </cfRule>
  </conditionalFormatting>
  <conditionalFormatting sqref="Q5:Q36">
    <cfRule type="cellIs" dxfId="9489" priority="94" operator="equal">
      <formula>"a"</formula>
    </cfRule>
    <cfRule type="cellIs" dxfId="9488" priority="95" operator="equal">
      <formula>"k"</formula>
    </cfRule>
    <cfRule type="cellIs" dxfId="9487" priority="96" operator="equal">
      <formula>"u"</formula>
    </cfRule>
    <cfRule type="cellIs" dxfId="9486" priority="97" operator="equal">
      <formula>"f"</formula>
    </cfRule>
    <cfRule type="cellIs" dxfId="9485" priority="98" operator="equal">
      <formula>9</formula>
    </cfRule>
    <cfRule type="cellIs" dxfId="9484" priority="99" operator="equal">
      <formula>8</formula>
    </cfRule>
    <cfRule type="cellIs" dxfId="9483" priority="100" operator="equal">
      <formula>5</formula>
    </cfRule>
    <cfRule type="cellIs" dxfId="9482" priority="101" operator="equal">
      <formula>3</formula>
    </cfRule>
    <cfRule type="cellIs" dxfId="9481" priority="102" operator="equal">
      <formula>6</formula>
    </cfRule>
    <cfRule type="cellIs" dxfId="9480" priority="103" operator="equal">
      <formula>4</formula>
    </cfRule>
    <cfRule type="cellIs" dxfId="9479" priority="104" operator="equal">
      <formula>2</formula>
    </cfRule>
    <cfRule type="cellIs" dxfId="9478" priority="105" operator="equal">
      <formula>7</formula>
    </cfRule>
    <cfRule type="cellIs" dxfId="9477" priority="106" operator="equal">
      <formula>1</formula>
    </cfRule>
  </conditionalFormatting>
  <conditionalFormatting sqref="T5:T36">
    <cfRule type="cellIs" dxfId="9476" priority="81" operator="equal">
      <formula>"a"</formula>
    </cfRule>
    <cfRule type="cellIs" dxfId="9475" priority="82" operator="equal">
      <formula>"k"</formula>
    </cfRule>
    <cfRule type="cellIs" dxfId="9474" priority="83" operator="equal">
      <formula>"u"</formula>
    </cfRule>
    <cfRule type="cellIs" dxfId="9473" priority="84" operator="equal">
      <formula>"f"</formula>
    </cfRule>
    <cfRule type="cellIs" dxfId="9472" priority="85" operator="equal">
      <formula>9</formula>
    </cfRule>
    <cfRule type="cellIs" dxfId="9471" priority="86" operator="equal">
      <formula>8</formula>
    </cfRule>
    <cfRule type="cellIs" dxfId="9470" priority="87" operator="equal">
      <formula>5</formula>
    </cfRule>
    <cfRule type="cellIs" dxfId="9469" priority="88" operator="equal">
      <formula>3</formula>
    </cfRule>
    <cfRule type="cellIs" dxfId="9468" priority="89" operator="equal">
      <formula>6</formula>
    </cfRule>
    <cfRule type="cellIs" dxfId="9467" priority="90" operator="equal">
      <formula>4</formula>
    </cfRule>
    <cfRule type="cellIs" dxfId="9466" priority="91" operator="equal">
      <formula>2</formula>
    </cfRule>
    <cfRule type="cellIs" dxfId="9465" priority="92" operator="equal">
      <formula>7</formula>
    </cfRule>
    <cfRule type="cellIs" dxfId="9464" priority="93" operator="equal">
      <formula>1</formula>
    </cfRule>
  </conditionalFormatting>
  <conditionalFormatting sqref="F5:F36">
    <cfRule type="expression" dxfId="9463" priority="68">
      <formula>COUNTIF(E5,"a")</formula>
    </cfRule>
    <cfRule type="expression" dxfId="9462" priority="69">
      <formula>COUNTIF(E5,"9")</formula>
    </cfRule>
    <cfRule type="expression" dxfId="9461" priority="70">
      <formula>COUNTIF(E5,"k")</formula>
    </cfRule>
    <cfRule type="expression" dxfId="9460" priority="71">
      <formula>COUNTIF(E5,"u")</formula>
    </cfRule>
    <cfRule type="expression" dxfId="9459" priority="72">
      <formula>COUNTIF(E5,"f")</formula>
    </cfRule>
    <cfRule type="expression" dxfId="9458" priority="73">
      <formula>COUNTIF(E5,"8")</formula>
    </cfRule>
    <cfRule type="expression" dxfId="9457" priority="74">
      <formula>COUNTIF(E5,"7")</formula>
    </cfRule>
    <cfRule type="expression" dxfId="9456" priority="75">
      <formula>COUNTIF(E5,"3")</formula>
    </cfRule>
    <cfRule type="expression" dxfId="9455" priority="77">
      <formula>COUNTIF(E5,"5")</formula>
    </cfRule>
    <cfRule type="expression" dxfId="9454" priority="78">
      <formula>COUNTIF(E5,"2")</formula>
    </cfRule>
    <cfRule type="expression" dxfId="9453" priority="79">
      <formula>COUNTIF(E5,"4")</formula>
    </cfRule>
    <cfRule type="expression" dxfId="9452" priority="80">
      <formula>COUNTIF(E5,"1")</formula>
    </cfRule>
  </conditionalFormatting>
  <conditionalFormatting sqref="F5:F36">
    <cfRule type="expression" dxfId="9451" priority="76">
      <formula>COUNTIF(E5,"6")</formula>
    </cfRule>
  </conditionalFormatting>
  <conditionalFormatting sqref="I5:I36">
    <cfRule type="expression" dxfId="9450" priority="55">
      <formula>COUNTIF(H5,"a")</formula>
    </cfRule>
    <cfRule type="expression" dxfId="9449" priority="56">
      <formula>COUNTIF(H5,"9")</formula>
    </cfRule>
    <cfRule type="expression" dxfId="9448" priority="57">
      <formula>COUNTIF(H5,"k")</formula>
    </cfRule>
    <cfRule type="expression" dxfId="9447" priority="58">
      <formula>COUNTIF(H5,"u")</formula>
    </cfRule>
    <cfRule type="expression" dxfId="9446" priority="59">
      <formula>COUNTIF(H5,"f")</formula>
    </cfRule>
    <cfRule type="expression" dxfId="9445" priority="60">
      <formula>COUNTIF(H5,"8")</formula>
    </cfRule>
    <cfRule type="expression" dxfId="9444" priority="61">
      <formula>COUNTIF(H5,"7")</formula>
    </cfRule>
    <cfRule type="expression" dxfId="9443" priority="62">
      <formula>COUNTIF(H5,"3")</formula>
    </cfRule>
    <cfRule type="expression" dxfId="9442" priority="64">
      <formula>COUNTIF(H5,"5")</formula>
    </cfRule>
    <cfRule type="expression" dxfId="9441" priority="65">
      <formula>COUNTIF(H5,"2")</formula>
    </cfRule>
    <cfRule type="expression" dxfId="9440" priority="66">
      <formula>COUNTIF(H5,"4")</formula>
    </cfRule>
    <cfRule type="expression" dxfId="9439" priority="67">
      <formula>COUNTIF(H5,"1")</formula>
    </cfRule>
  </conditionalFormatting>
  <conditionalFormatting sqref="I5:I36">
    <cfRule type="expression" dxfId="9438" priority="63">
      <formula>COUNTIF(H5,"6")</formula>
    </cfRule>
  </conditionalFormatting>
  <conditionalFormatting sqref="L5:L36">
    <cfRule type="expression" dxfId="9437" priority="42">
      <formula>COUNTIF(K5,"a")</formula>
    </cfRule>
    <cfRule type="expression" dxfId="9436" priority="43">
      <formula>COUNTIF(K5,"9")</formula>
    </cfRule>
    <cfRule type="expression" dxfId="9435" priority="44">
      <formula>COUNTIF(K5,"k")</formula>
    </cfRule>
    <cfRule type="expression" dxfId="9434" priority="45">
      <formula>COUNTIF(K5,"u")</formula>
    </cfRule>
    <cfRule type="expression" dxfId="9433" priority="46">
      <formula>COUNTIF(K5,"f")</formula>
    </cfRule>
    <cfRule type="expression" dxfId="9432" priority="47">
      <formula>COUNTIF(K5,"8")</formula>
    </cfRule>
    <cfRule type="expression" dxfId="9431" priority="48">
      <formula>COUNTIF(K5,"7")</formula>
    </cfRule>
    <cfRule type="expression" dxfId="9430" priority="49">
      <formula>COUNTIF(K5,"3")</formula>
    </cfRule>
    <cfRule type="expression" dxfId="9429" priority="51">
      <formula>COUNTIF(K5,"5")</formula>
    </cfRule>
    <cfRule type="expression" dxfId="9428" priority="52">
      <formula>COUNTIF(K5,"2")</formula>
    </cfRule>
    <cfRule type="expression" dxfId="9427" priority="53">
      <formula>COUNTIF(K5,"4")</formula>
    </cfRule>
    <cfRule type="expression" dxfId="9426" priority="54">
      <formula>COUNTIF(K5,"1")</formula>
    </cfRule>
  </conditionalFormatting>
  <conditionalFormatting sqref="L5:L36">
    <cfRule type="expression" dxfId="9425" priority="50">
      <formula>COUNTIF(K5,"6")</formula>
    </cfRule>
  </conditionalFormatting>
  <conditionalFormatting sqref="O5:O36">
    <cfRule type="expression" dxfId="9424" priority="29">
      <formula>COUNTIF(N5,"a")</formula>
    </cfRule>
    <cfRule type="expression" dxfId="9423" priority="30">
      <formula>COUNTIF(N5,"9")</formula>
    </cfRule>
    <cfRule type="expression" dxfId="9422" priority="31">
      <formula>COUNTIF(N5,"k")</formula>
    </cfRule>
    <cfRule type="expression" dxfId="9421" priority="32">
      <formula>COUNTIF(N5,"u")</formula>
    </cfRule>
    <cfRule type="expression" dxfId="9420" priority="33">
      <formula>COUNTIF(N5,"f")</formula>
    </cfRule>
    <cfRule type="expression" dxfId="9419" priority="34">
      <formula>COUNTIF(N5,"8")</formula>
    </cfRule>
    <cfRule type="expression" dxfId="9418" priority="35">
      <formula>COUNTIF(N5,"7")</formula>
    </cfRule>
    <cfRule type="expression" dxfId="9417" priority="36">
      <formula>COUNTIF(N5,"3")</formula>
    </cfRule>
    <cfRule type="expression" dxfId="9416" priority="38">
      <formula>COUNTIF(N5,"5")</formula>
    </cfRule>
    <cfRule type="expression" dxfId="9415" priority="39">
      <formula>COUNTIF(N5,"2")</formula>
    </cfRule>
    <cfRule type="expression" dxfId="9414" priority="40">
      <formula>COUNTIF(N5,"4")</formula>
    </cfRule>
    <cfRule type="expression" dxfId="9413" priority="41">
      <formula>COUNTIF(N5,"1")</formula>
    </cfRule>
  </conditionalFormatting>
  <conditionalFormatting sqref="O5:O36">
    <cfRule type="expression" dxfId="9412" priority="37">
      <formula>COUNTIF(N5,"6")</formula>
    </cfRule>
  </conditionalFormatting>
  <conditionalFormatting sqref="R5:R36">
    <cfRule type="expression" dxfId="9411" priority="16">
      <formula>COUNTIF(Q5,"a")</formula>
    </cfRule>
    <cfRule type="expression" dxfId="9410" priority="17">
      <formula>COUNTIF(Q5,"9")</formula>
    </cfRule>
    <cfRule type="expression" dxfId="9409" priority="18">
      <formula>COUNTIF(Q5,"k")</formula>
    </cfRule>
    <cfRule type="expression" dxfId="9408" priority="19">
      <formula>COUNTIF(Q5,"u")</formula>
    </cfRule>
    <cfRule type="expression" dxfId="9407" priority="20">
      <formula>COUNTIF(Q5,"f")</formula>
    </cfRule>
    <cfRule type="expression" dxfId="9406" priority="21">
      <formula>COUNTIF(Q5,"8")</formula>
    </cfRule>
    <cfRule type="expression" dxfId="9405" priority="22">
      <formula>COUNTIF(Q5,"7")</formula>
    </cfRule>
    <cfRule type="expression" dxfId="9404" priority="23">
      <formula>COUNTIF(Q5,"3")</formula>
    </cfRule>
    <cfRule type="expression" dxfId="9403" priority="25">
      <formula>COUNTIF(Q5,"5")</formula>
    </cfRule>
    <cfRule type="expression" dxfId="9402" priority="26">
      <formula>COUNTIF(Q5,"2")</formula>
    </cfRule>
    <cfRule type="expression" dxfId="9401" priority="27">
      <formula>COUNTIF(Q5,"4")</formula>
    </cfRule>
    <cfRule type="expression" dxfId="9400" priority="28">
      <formula>COUNTIF(Q5,"1")</formula>
    </cfRule>
  </conditionalFormatting>
  <conditionalFormatting sqref="R5:R36">
    <cfRule type="expression" dxfId="9399" priority="24">
      <formula>COUNTIF(Q5,"6")</formula>
    </cfRule>
  </conditionalFormatting>
  <conditionalFormatting sqref="U5:U36">
    <cfRule type="expression" dxfId="9398" priority="3">
      <formula>COUNTIF(T5,"a")</formula>
    </cfRule>
    <cfRule type="expression" dxfId="9397" priority="4">
      <formula>COUNTIF(T5,"9")</formula>
    </cfRule>
    <cfRule type="expression" dxfId="9396" priority="5">
      <formula>COUNTIF(T5,"k")</formula>
    </cfRule>
    <cfRule type="expression" dxfId="9395" priority="6">
      <formula>COUNTIF(T5,"u")</formula>
    </cfRule>
    <cfRule type="expression" dxfId="9394" priority="7">
      <formula>COUNTIF(T5,"f")</formula>
    </cfRule>
    <cfRule type="expression" dxfId="9393" priority="8">
      <formula>COUNTIF(T5,"8")</formula>
    </cfRule>
    <cfRule type="expression" dxfId="9392" priority="9">
      <formula>COUNTIF(T5,"7")</formula>
    </cfRule>
    <cfRule type="expression" dxfId="9391" priority="10">
      <formula>COUNTIF(T5,"3")</formula>
    </cfRule>
    <cfRule type="expression" dxfId="9390" priority="12">
      <formula>COUNTIF(T5,"5")</formula>
    </cfRule>
    <cfRule type="expression" dxfId="9389" priority="13">
      <formula>COUNTIF(T5,"2")</formula>
    </cfRule>
    <cfRule type="expression" dxfId="9388" priority="14">
      <formula>COUNTIF(T5,"4")</formula>
    </cfRule>
    <cfRule type="expression" dxfId="9387" priority="15">
      <formula>COUNTIF(T5,"1")</formula>
    </cfRule>
  </conditionalFormatting>
  <conditionalFormatting sqref="U5:U36">
    <cfRule type="expression" dxfId="9386" priority="11">
      <formula>COUNTIF(T5,"6")</formula>
    </cfRule>
  </conditionalFormatting>
  <conditionalFormatting sqref="V32">
    <cfRule type="cellIs" dxfId="9385" priority="1" operator="lessThan">
      <formula>0</formula>
    </cfRule>
    <cfRule type="cellIs" dxfId="938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2667B5D4-4784-614A-ABC3-E22314EC1576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7A8A-E5BE-9B43-90AE-8D77764DF4AC}">
  <sheetPr codeName="Tabelle4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</v>
      </c>
      <c r="Q1" s="176"/>
      <c r="R1" s="79">
        <f>DATE(V1,1,7*P1-3-WEEKDAY(DATE(V1,,),3))</f>
        <v>45306</v>
      </c>
      <c r="S1" s="80" t="s">
        <v>1</v>
      </c>
      <c r="T1" s="177">
        <f>DATE(V1,1,7*P1+3-WEEKDAY(DATE(V1,,),3))</f>
        <v>45312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45306</v>
      </c>
      <c r="B2" s="178"/>
      <c r="C2" s="178"/>
      <c r="D2" s="178">
        <f>A2+1</f>
        <v>45307</v>
      </c>
      <c r="E2" s="179"/>
      <c r="F2" s="179"/>
      <c r="G2" s="178">
        <f>D2+1</f>
        <v>45308</v>
      </c>
      <c r="H2" s="179"/>
      <c r="I2" s="179"/>
      <c r="J2" s="178">
        <f>G2+1</f>
        <v>45309</v>
      </c>
      <c r="K2" s="179"/>
      <c r="L2" s="179"/>
      <c r="M2" s="178">
        <f>J2+1</f>
        <v>45310</v>
      </c>
      <c r="N2" s="179"/>
      <c r="O2" s="179"/>
      <c r="P2" s="178">
        <f>M2+1</f>
        <v>45311</v>
      </c>
      <c r="Q2" s="179"/>
      <c r="R2" s="179"/>
      <c r="S2" s="178">
        <f>P2+1</f>
        <v>45312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45306</v>
      </c>
      <c r="B3" s="168"/>
      <c r="C3" s="168"/>
      <c r="D3" s="168">
        <f>A3+1</f>
        <v>45307</v>
      </c>
      <c r="E3" s="168"/>
      <c r="F3" s="168"/>
      <c r="G3" s="168">
        <f>D3+1</f>
        <v>45308</v>
      </c>
      <c r="H3" s="168"/>
      <c r="I3" s="168"/>
      <c r="J3" s="168">
        <f>G3+1</f>
        <v>45309</v>
      </c>
      <c r="K3" s="168"/>
      <c r="L3" s="168"/>
      <c r="M3" s="168">
        <f>J3+1</f>
        <v>45310</v>
      </c>
      <c r="N3" s="168"/>
      <c r="O3" s="168"/>
      <c r="P3" s="168">
        <f>M3+1</f>
        <v>45311</v>
      </c>
      <c r="Q3" s="168"/>
      <c r="R3" s="168"/>
      <c r="S3" s="168">
        <f>P3+1</f>
        <v>45312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45306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45307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45308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45309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45310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45311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45312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2'!V32</f>
        <v>-80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9383" priority="159">
      <formula>COUNTIF(B5,"a")</formula>
    </cfRule>
    <cfRule type="expression" dxfId="9382" priority="161">
      <formula>COUNTIF(B5,"9")</formula>
    </cfRule>
    <cfRule type="expression" dxfId="9381" priority="163">
      <formula>COUNTIF(B5,"k")</formula>
    </cfRule>
    <cfRule type="expression" dxfId="9380" priority="164">
      <formula>COUNTIF(B5,"u")</formula>
    </cfRule>
    <cfRule type="expression" dxfId="9379" priority="167">
      <formula>COUNTIF(B5,"f")</formula>
    </cfRule>
    <cfRule type="expression" dxfId="9378" priority="168">
      <formula>COUNTIF(B5,"8")</formula>
    </cfRule>
    <cfRule type="expression" dxfId="9377" priority="169">
      <formula>COUNTIF(B5,"7")</formula>
    </cfRule>
    <cfRule type="expression" dxfId="9376" priority="170">
      <formula>COUNTIF(B5,"3")</formula>
    </cfRule>
    <cfRule type="expression" dxfId="9375" priority="181">
      <formula>COUNTIF(B5,"5")</formula>
    </cfRule>
    <cfRule type="expression" dxfId="9374" priority="182">
      <formula>COUNTIF(B5,"2")</formula>
    </cfRule>
    <cfRule type="expression" dxfId="9373" priority="183">
      <formula>COUNTIF(B5,"4")</formula>
    </cfRule>
    <cfRule type="expression" dxfId="9372" priority="184">
      <formula>COUNTIF(B5,"1")</formula>
    </cfRule>
  </conditionalFormatting>
  <conditionalFormatting sqref="B5:B36">
    <cfRule type="cellIs" dxfId="9371" priority="160" operator="equal">
      <formula>"a"</formula>
    </cfRule>
    <cfRule type="cellIs" dxfId="9370" priority="162" operator="equal">
      <formula>"k"</formula>
    </cfRule>
    <cfRule type="cellIs" dxfId="9369" priority="165" operator="equal">
      <formula>"u"</formula>
    </cfRule>
    <cfRule type="cellIs" dxfId="9368" priority="166" operator="equal">
      <formula>"f"</formula>
    </cfRule>
    <cfRule type="cellIs" dxfId="9367" priority="171" operator="equal">
      <formula>9</formula>
    </cfRule>
    <cfRule type="cellIs" dxfId="9366" priority="172" operator="equal">
      <formula>8</formula>
    </cfRule>
    <cfRule type="cellIs" dxfId="9365" priority="173" operator="equal">
      <formula>5</formula>
    </cfRule>
    <cfRule type="cellIs" dxfId="9364" priority="174" operator="equal">
      <formula>3</formula>
    </cfRule>
    <cfRule type="cellIs" dxfId="9363" priority="176" operator="equal">
      <formula>6</formula>
    </cfRule>
    <cfRule type="cellIs" dxfId="9362" priority="177" operator="equal">
      <formula>4</formula>
    </cfRule>
    <cfRule type="cellIs" dxfId="9361" priority="178" operator="equal">
      <formula>2</formula>
    </cfRule>
    <cfRule type="cellIs" dxfId="9360" priority="179" operator="equal">
      <formula>7</formula>
    </cfRule>
    <cfRule type="cellIs" dxfId="9359" priority="180" operator="equal">
      <formula>1</formula>
    </cfRule>
  </conditionalFormatting>
  <conditionalFormatting sqref="C5:C36">
    <cfRule type="expression" dxfId="9358" priority="175">
      <formula>COUNTIF(B5,"6")</formula>
    </cfRule>
  </conditionalFormatting>
  <conditionalFormatting sqref="E5:E36">
    <cfRule type="cellIs" dxfId="9357" priority="146" operator="equal">
      <formula>"a"</formula>
    </cfRule>
    <cfRule type="cellIs" dxfId="9356" priority="147" operator="equal">
      <formula>"k"</formula>
    </cfRule>
    <cfRule type="cellIs" dxfId="9355" priority="148" operator="equal">
      <formula>"u"</formula>
    </cfRule>
    <cfRule type="cellIs" dxfId="9354" priority="149" operator="equal">
      <formula>"f"</formula>
    </cfRule>
    <cfRule type="cellIs" dxfId="9353" priority="150" operator="equal">
      <formula>9</formula>
    </cfRule>
    <cfRule type="cellIs" dxfId="9352" priority="151" operator="equal">
      <formula>8</formula>
    </cfRule>
    <cfRule type="cellIs" dxfId="9351" priority="152" operator="equal">
      <formula>5</formula>
    </cfRule>
    <cfRule type="cellIs" dxfId="9350" priority="153" operator="equal">
      <formula>3</formula>
    </cfRule>
    <cfRule type="cellIs" dxfId="9349" priority="154" operator="equal">
      <formula>6</formula>
    </cfRule>
    <cfRule type="cellIs" dxfId="9348" priority="155" operator="equal">
      <formula>4</formula>
    </cfRule>
    <cfRule type="cellIs" dxfId="9347" priority="156" operator="equal">
      <formula>2</formula>
    </cfRule>
    <cfRule type="cellIs" dxfId="9346" priority="157" operator="equal">
      <formula>7</formula>
    </cfRule>
    <cfRule type="cellIs" dxfId="9345" priority="158" operator="equal">
      <formula>1</formula>
    </cfRule>
  </conditionalFormatting>
  <conditionalFormatting sqref="H5:H36">
    <cfRule type="cellIs" dxfId="9344" priority="133" operator="equal">
      <formula>"a"</formula>
    </cfRule>
    <cfRule type="cellIs" dxfId="9343" priority="134" operator="equal">
      <formula>"k"</formula>
    </cfRule>
    <cfRule type="cellIs" dxfId="9342" priority="135" operator="equal">
      <formula>"u"</formula>
    </cfRule>
    <cfRule type="cellIs" dxfId="9341" priority="136" operator="equal">
      <formula>"f"</formula>
    </cfRule>
    <cfRule type="cellIs" dxfId="9340" priority="137" operator="equal">
      <formula>9</formula>
    </cfRule>
    <cfRule type="cellIs" dxfId="9339" priority="138" operator="equal">
      <formula>8</formula>
    </cfRule>
    <cfRule type="cellIs" dxfId="9338" priority="139" operator="equal">
      <formula>5</formula>
    </cfRule>
    <cfRule type="cellIs" dxfId="9337" priority="140" operator="equal">
      <formula>3</formula>
    </cfRule>
    <cfRule type="cellIs" dxfId="9336" priority="141" operator="equal">
      <formula>6</formula>
    </cfRule>
    <cfRule type="cellIs" dxfId="9335" priority="142" operator="equal">
      <formula>4</formula>
    </cfRule>
    <cfRule type="cellIs" dxfId="9334" priority="143" operator="equal">
      <formula>2</formula>
    </cfRule>
    <cfRule type="cellIs" dxfId="9333" priority="144" operator="equal">
      <formula>7</formula>
    </cfRule>
    <cfRule type="cellIs" dxfId="9332" priority="145" operator="equal">
      <formula>1</formula>
    </cfRule>
  </conditionalFormatting>
  <conditionalFormatting sqref="K5:K36">
    <cfRule type="cellIs" dxfId="9331" priority="120" operator="equal">
      <formula>"a"</formula>
    </cfRule>
    <cfRule type="cellIs" dxfId="9330" priority="121" operator="equal">
      <formula>"k"</formula>
    </cfRule>
    <cfRule type="cellIs" dxfId="9329" priority="122" operator="equal">
      <formula>"u"</formula>
    </cfRule>
    <cfRule type="cellIs" dxfId="9328" priority="123" operator="equal">
      <formula>"f"</formula>
    </cfRule>
    <cfRule type="cellIs" dxfId="9327" priority="124" operator="equal">
      <formula>9</formula>
    </cfRule>
    <cfRule type="cellIs" dxfId="9326" priority="125" operator="equal">
      <formula>8</formula>
    </cfRule>
    <cfRule type="cellIs" dxfId="9325" priority="126" operator="equal">
      <formula>5</formula>
    </cfRule>
    <cfRule type="cellIs" dxfId="9324" priority="127" operator="equal">
      <formula>3</formula>
    </cfRule>
    <cfRule type="cellIs" dxfId="9323" priority="128" operator="equal">
      <formula>6</formula>
    </cfRule>
    <cfRule type="cellIs" dxfId="9322" priority="129" operator="equal">
      <formula>4</formula>
    </cfRule>
    <cfRule type="cellIs" dxfId="9321" priority="130" operator="equal">
      <formula>2</formula>
    </cfRule>
    <cfRule type="cellIs" dxfId="9320" priority="131" operator="equal">
      <formula>7</formula>
    </cfRule>
    <cfRule type="cellIs" dxfId="9319" priority="132" operator="equal">
      <formula>1</formula>
    </cfRule>
  </conditionalFormatting>
  <conditionalFormatting sqref="N5:N36">
    <cfRule type="cellIs" dxfId="9318" priority="107" operator="equal">
      <formula>"a"</formula>
    </cfRule>
    <cfRule type="cellIs" dxfId="9317" priority="108" operator="equal">
      <formula>"k"</formula>
    </cfRule>
    <cfRule type="cellIs" dxfId="9316" priority="109" operator="equal">
      <formula>"u"</formula>
    </cfRule>
    <cfRule type="cellIs" dxfId="9315" priority="110" operator="equal">
      <formula>"f"</formula>
    </cfRule>
    <cfRule type="cellIs" dxfId="9314" priority="111" operator="equal">
      <formula>9</formula>
    </cfRule>
    <cfRule type="cellIs" dxfId="9313" priority="112" operator="equal">
      <formula>8</formula>
    </cfRule>
    <cfRule type="cellIs" dxfId="9312" priority="113" operator="equal">
      <formula>5</formula>
    </cfRule>
    <cfRule type="cellIs" dxfId="9311" priority="114" operator="equal">
      <formula>3</formula>
    </cfRule>
    <cfRule type="cellIs" dxfId="9310" priority="115" operator="equal">
      <formula>6</formula>
    </cfRule>
    <cfRule type="cellIs" dxfId="9309" priority="116" operator="equal">
      <formula>4</formula>
    </cfRule>
    <cfRule type="cellIs" dxfId="9308" priority="117" operator="equal">
      <formula>2</formula>
    </cfRule>
    <cfRule type="cellIs" dxfId="9307" priority="118" operator="equal">
      <formula>7</formula>
    </cfRule>
    <cfRule type="cellIs" dxfId="9306" priority="119" operator="equal">
      <formula>1</formula>
    </cfRule>
  </conditionalFormatting>
  <conditionalFormatting sqref="Q5:Q36">
    <cfRule type="cellIs" dxfId="9305" priority="94" operator="equal">
      <formula>"a"</formula>
    </cfRule>
    <cfRule type="cellIs" dxfId="9304" priority="95" operator="equal">
      <formula>"k"</formula>
    </cfRule>
    <cfRule type="cellIs" dxfId="9303" priority="96" operator="equal">
      <formula>"u"</formula>
    </cfRule>
    <cfRule type="cellIs" dxfId="9302" priority="97" operator="equal">
      <formula>"f"</formula>
    </cfRule>
    <cfRule type="cellIs" dxfId="9301" priority="98" operator="equal">
      <formula>9</formula>
    </cfRule>
    <cfRule type="cellIs" dxfId="9300" priority="99" operator="equal">
      <formula>8</formula>
    </cfRule>
    <cfRule type="cellIs" dxfId="9299" priority="100" operator="equal">
      <formula>5</formula>
    </cfRule>
    <cfRule type="cellIs" dxfId="9298" priority="101" operator="equal">
      <formula>3</formula>
    </cfRule>
    <cfRule type="cellIs" dxfId="9297" priority="102" operator="equal">
      <formula>6</formula>
    </cfRule>
    <cfRule type="cellIs" dxfId="9296" priority="103" operator="equal">
      <formula>4</formula>
    </cfRule>
    <cfRule type="cellIs" dxfId="9295" priority="104" operator="equal">
      <formula>2</formula>
    </cfRule>
    <cfRule type="cellIs" dxfId="9294" priority="105" operator="equal">
      <formula>7</formula>
    </cfRule>
    <cfRule type="cellIs" dxfId="9293" priority="106" operator="equal">
      <formula>1</formula>
    </cfRule>
  </conditionalFormatting>
  <conditionalFormatting sqref="T5:T36">
    <cfRule type="cellIs" dxfId="9292" priority="81" operator="equal">
      <formula>"a"</formula>
    </cfRule>
    <cfRule type="cellIs" dxfId="9291" priority="82" operator="equal">
      <formula>"k"</formula>
    </cfRule>
    <cfRule type="cellIs" dxfId="9290" priority="83" operator="equal">
      <formula>"u"</formula>
    </cfRule>
    <cfRule type="cellIs" dxfId="9289" priority="84" operator="equal">
      <formula>"f"</formula>
    </cfRule>
    <cfRule type="cellIs" dxfId="9288" priority="85" operator="equal">
      <formula>9</formula>
    </cfRule>
    <cfRule type="cellIs" dxfId="9287" priority="86" operator="equal">
      <formula>8</formula>
    </cfRule>
    <cfRule type="cellIs" dxfId="9286" priority="87" operator="equal">
      <formula>5</formula>
    </cfRule>
    <cfRule type="cellIs" dxfId="9285" priority="88" operator="equal">
      <formula>3</formula>
    </cfRule>
    <cfRule type="cellIs" dxfId="9284" priority="89" operator="equal">
      <formula>6</formula>
    </cfRule>
    <cfRule type="cellIs" dxfId="9283" priority="90" operator="equal">
      <formula>4</formula>
    </cfRule>
    <cfRule type="cellIs" dxfId="9282" priority="91" operator="equal">
      <formula>2</formula>
    </cfRule>
    <cfRule type="cellIs" dxfId="9281" priority="92" operator="equal">
      <formula>7</formula>
    </cfRule>
    <cfRule type="cellIs" dxfId="9280" priority="93" operator="equal">
      <formula>1</formula>
    </cfRule>
  </conditionalFormatting>
  <conditionalFormatting sqref="F5:F36">
    <cfRule type="expression" dxfId="9279" priority="68">
      <formula>COUNTIF(E5,"a")</formula>
    </cfRule>
    <cfRule type="expression" dxfId="9278" priority="69">
      <formula>COUNTIF(E5,"9")</formula>
    </cfRule>
    <cfRule type="expression" dxfId="9277" priority="70">
      <formula>COUNTIF(E5,"k")</formula>
    </cfRule>
    <cfRule type="expression" dxfId="9276" priority="71">
      <formula>COUNTIF(E5,"u")</formula>
    </cfRule>
    <cfRule type="expression" dxfId="9275" priority="72">
      <formula>COUNTIF(E5,"f")</formula>
    </cfRule>
    <cfRule type="expression" dxfId="9274" priority="73">
      <formula>COUNTIF(E5,"8")</formula>
    </cfRule>
    <cfRule type="expression" dxfId="9273" priority="74">
      <formula>COUNTIF(E5,"7")</formula>
    </cfRule>
    <cfRule type="expression" dxfId="9272" priority="75">
      <formula>COUNTIF(E5,"3")</formula>
    </cfRule>
    <cfRule type="expression" dxfId="9271" priority="77">
      <formula>COUNTIF(E5,"5")</formula>
    </cfRule>
    <cfRule type="expression" dxfId="9270" priority="78">
      <formula>COUNTIF(E5,"2")</formula>
    </cfRule>
    <cfRule type="expression" dxfId="9269" priority="79">
      <formula>COUNTIF(E5,"4")</formula>
    </cfRule>
    <cfRule type="expression" dxfId="9268" priority="80">
      <formula>COUNTIF(E5,"1")</formula>
    </cfRule>
  </conditionalFormatting>
  <conditionalFormatting sqref="F5:F36">
    <cfRule type="expression" dxfId="9267" priority="76">
      <formula>COUNTIF(E5,"6")</formula>
    </cfRule>
  </conditionalFormatting>
  <conditionalFormatting sqref="I5:I36">
    <cfRule type="expression" dxfId="9266" priority="55">
      <formula>COUNTIF(H5,"a")</formula>
    </cfRule>
    <cfRule type="expression" dxfId="9265" priority="56">
      <formula>COUNTIF(H5,"9")</formula>
    </cfRule>
    <cfRule type="expression" dxfId="9264" priority="57">
      <formula>COUNTIF(H5,"k")</formula>
    </cfRule>
    <cfRule type="expression" dxfId="9263" priority="58">
      <formula>COUNTIF(H5,"u")</formula>
    </cfRule>
    <cfRule type="expression" dxfId="9262" priority="59">
      <formula>COUNTIF(H5,"f")</formula>
    </cfRule>
    <cfRule type="expression" dxfId="9261" priority="60">
      <formula>COUNTIF(H5,"8")</formula>
    </cfRule>
    <cfRule type="expression" dxfId="9260" priority="61">
      <formula>COUNTIF(H5,"7")</formula>
    </cfRule>
    <cfRule type="expression" dxfId="9259" priority="62">
      <formula>COUNTIF(H5,"3")</formula>
    </cfRule>
    <cfRule type="expression" dxfId="9258" priority="64">
      <formula>COUNTIF(H5,"5")</formula>
    </cfRule>
    <cfRule type="expression" dxfId="9257" priority="65">
      <formula>COUNTIF(H5,"2")</formula>
    </cfRule>
    <cfRule type="expression" dxfId="9256" priority="66">
      <formula>COUNTIF(H5,"4")</formula>
    </cfRule>
    <cfRule type="expression" dxfId="9255" priority="67">
      <formula>COUNTIF(H5,"1")</formula>
    </cfRule>
  </conditionalFormatting>
  <conditionalFormatting sqref="I5:I36">
    <cfRule type="expression" dxfId="9254" priority="63">
      <formula>COUNTIF(H5,"6")</formula>
    </cfRule>
  </conditionalFormatting>
  <conditionalFormatting sqref="L5:L36">
    <cfRule type="expression" dxfId="9253" priority="42">
      <formula>COUNTIF(K5,"a")</formula>
    </cfRule>
    <cfRule type="expression" dxfId="9252" priority="43">
      <formula>COUNTIF(K5,"9")</formula>
    </cfRule>
    <cfRule type="expression" dxfId="9251" priority="44">
      <formula>COUNTIF(K5,"k")</formula>
    </cfRule>
    <cfRule type="expression" dxfId="9250" priority="45">
      <formula>COUNTIF(K5,"u")</formula>
    </cfRule>
    <cfRule type="expression" dxfId="9249" priority="46">
      <formula>COUNTIF(K5,"f")</formula>
    </cfRule>
    <cfRule type="expression" dxfId="9248" priority="47">
      <formula>COUNTIF(K5,"8")</formula>
    </cfRule>
    <cfRule type="expression" dxfId="9247" priority="48">
      <formula>COUNTIF(K5,"7")</formula>
    </cfRule>
    <cfRule type="expression" dxfId="9246" priority="49">
      <formula>COUNTIF(K5,"3")</formula>
    </cfRule>
    <cfRule type="expression" dxfId="9245" priority="51">
      <formula>COUNTIF(K5,"5")</formula>
    </cfRule>
    <cfRule type="expression" dxfId="9244" priority="52">
      <formula>COUNTIF(K5,"2")</formula>
    </cfRule>
    <cfRule type="expression" dxfId="9243" priority="53">
      <formula>COUNTIF(K5,"4")</formula>
    </cfRule>
    <cfRule type="expression" dxfId="9242" priority="54">
      <formula>COUNTIF(K5,"1")</formula>
    </cfRule>
  </conditionalFormatting>
  <conditionalFormatting sqref="L5:L36">
    <cfRule type="expression" dxfId="9241" priority="50">
      <formula>COUNTIF(K5,"6")</formula>
    </cfRule>
  </conditionalFormatting>
  <conditionalFormatting sqref="O5:O36">
    <cfRule type="expression" dxfId="9240" priority="29">
      <formula>COUNTIF(N5,"a")</formula>
    </cfRule>
    <cfRule type="expression" dxfId="9239" priority="30">
      <formula>COUNTIF(N5,"9")</formula>
    </cfRule>
    <cfRule type="expression" dxfId="9238" priority="31">
      <formula>COUNTIF(N5,"k")</formula>
    </cfRule>
    <cfRule type="expression" dxfId="9237" priority="32">
      <formula>COUNTIF(N5,"u")</formula>
    </cfRule>
    <cfRule type="expression" dxfId="9236" priority="33">
      <formula>COUNTIF(N5,"f")</formula>
    </cfRule>
    <cfRule type="expression" dxfId="9235" priority="34">
      <formula>COUNTIF(N5,"8")</formula>
    </cfRule>
    <cfRule type="expression" dxfId="9234" priority="35">
      <formula>COUNTIF(N5,"7")</formula>
    </cfRule>
    <cfRule type="expression" dxfId="9233" priority="36">
      <formula>COUNTIF(N5,"3")</formula>
    </cfRule>
    <cfRule type="expression" dxfId="9232" priority="38">
      <formula>COUNTIF(N5,"5")</formula>
    </cfRule>
    <cfRule type="expression" dxfId="9231" priority="39">
      <formula>COUNTIF(N5,"2")</formula>
    </cfRule>
    <cfRule type="expression" dxfId="9230" priority="40">
      <formula>COUNTIF(N5,"4")</formula>
    </cfRule>
    <cfRule type="expression" dxfId="9229" priority="41">
      <formula>COUNTIF(N5,"1")</formula>
    </cfRule>
  </conditionalFormatting>
  <conditionalFormatting sqref="O5:O36">
    <cfRule type="expression" dxfId="9228" priority="37">
      <formula>COUNTIF(N5,"6")</formula>
    </cfRule>
  </conditionalFormatting>
  <conditionalFormatting sqref="R5:R36">
    <cfRule type="expression" dxfId="9227" priority="16">
      <formula>COUNTIF(Q5,"a")</formula>
    </cfRule>
    <cfRule type="expression" dxfId="9226" priority="17">
      <formula>COUNTIF(Q5,"9")</formula>
    </cfRule>
    <cfRule type="expression" dxfId="9225" priority="18">
      <formula>COUNTIF(Q5,"k")</formula>
    </cfRule>
    <cfRule type="expression" dxfId="9224" priority="19">
      <formula>COUNTIF(Q5,"u")</formula>
    </cfRule>
    <cfRule type="expression" dxfId="9223" priority="20">
      <formula>COUNTIF(Q5,"f")</formula>
    </cfRule>
    <cfRule type="expression" dxfId="9222" priority="21">
      <formula>COUNTIF(Q5,"8")</formula>
    </cfRule>
    <cfRule type="expression" dxfId="9221" priority="22">
      <formula>COUNTIF(Q5,"7")</formula>
    </cfRule>
    <cfRule type="expression" dxfId="9220" priority="23">
      <formula>COUNTIF(Q5,"3")</formula>
    </cfRule>
    <cfRule type="expression" dxfId="9219" priority="25">
      <formula>COUNTIF(Q5,"5")</formula>
    </cfRule>
    <cfRule type="expression" dxfId="9218" priority="26">
      <formula>COUNTIF(Q5,"2")</formula>
    </cfRule>
    <cfRule type="expression" dxfId="9217" priority="27">
      <formula>COUNTIF(Q5,"4")</formula>
    </cfRule>
    <cfRule type="expression" dxfId="9216" priority="28">
      <formula>COUNTIF(Q5,"1")</formula>
    </cfRule>
  </conditionalFormatting>
  <conditionalFormatting sqref="R5:R36">
    <cfRule type="expression" dxfId="9215" priority="24">
      <formula>COUNTIF(Q5,"6")</formula>
    </cfRule>
  </conditionalFormatting>
  <conditionalFormatting sqref="U5:U36">
    <cfRule type="expression" dxfId="9214" priority="3">
      <formula>COUNTIF(T5,"a")</formula>
    </cfRule>
    <cfRule type="expression" dxfId="9213" priority="4">
      <formula>COUNTIF(T5,"9")</formula>
    </cfRule>
    <cfRule type="expression" dxfId="9212" priority="5">
      <formula>COUNTIF(T5,"k")</formula>
    </cfRule>
    <cfRule type="expression" dxfId="9211" priority="6">
      <formula>COUNTIF(T5,"u")</formula>
    </cfRule>
    <cfRule type="expression" dxfId="9210" priority="7">
      <formula>COUNTIF(T5,"f")</formula>
    </cfRule>
    <cfRule type="expression" dxfId="9209" priority="8">
      <formula>COUNTIF(T5,"8")</formula>
    </cfRule>
    <cfRule type="expression" dxfId="9208" priority="9">
      <formula>COUNTIF(T5,"7")</formula>
    </cfRule>
    <cfRule type="expression" dxfId="9207" priority="10">
      <formula>COUNTIF(T5,"3")</formula>
    </cfRule>
    <cfRule type="expression" dxfId="9206" priority="12">
      <formula>COUNTIF(T5,"5")</formula>
    </cfRule>
    <cfRule type="expression" dxfId="9205" priority="13">
      <formula>COUNTIF(T5,"2")</formula>
    </cfRule>
    <cfRule type="expression" dxfId="9204" priority="14">
      <formula>COUNTIF(T5,"4")</formula>
    </cfRule>
    <cfRule type="expression" dxfId="9203" priority="15">
      <formula>COUNTIF(T5,"1")</formula>
    </cfRule>
  </conditionalFormatting>
  <conditionalFormatting sqref="U5:U36">
    <cfRule type="expression" dxfId="9202" priority="11">
      <formula>COUNTIF(T5,"6")</formula>
    </cfRule>
  </conditionalFormatting>
  <conditionalFormatting sqref="V32">
    <cfRule type="cellIs" dxfId="9201" priority="1" operator="lessThan">
      <formula>0</formula>
    </cfRule>
    <cfRule type="cellIs" dxfId="920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949778AD-2655-7B48-AC1D-A3C95BCC363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DBD12-7417-7841-ADD3-6ABBD989CCE5}">
  <sheetPr codeName="Tabelle49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</v>
      </c>
      <c r="Q1" s="176"/>
      <c r="R1" s="79">
        <f>DATE(V1,1,7*P1-3-WEEKDAY(DATE(V1,,),3))</f>
        <v>45313</v>
      </c>
      <c r="S1" s="80" t="s">
        <v>1</v>
      </c>
      <c r="T1" s="177">
        <f>DATE(V1,1,7*P1+3-WEEKDAY(DATE(V1,,),3))</f>
        <v>45319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45313</v>
      </c>
      <c r="B2" s="178"/>
      <c r="C2" s="178"/>
      <c r="D2" s="178">
        <f>A2+1</f>
        <v>45314</v>
      </c>
      <c r="E2" s="179"/>
      <c r="F2" s="179"/>
      <c r="G2" s="178">
        <f>D2+1</f>
        <v>45315</v>
      </c>
      <c r="H2" s="179"/>
      <c r="I2" s="179"/>
      <c r="J2" s="178">
        <f>G2+1</f>
        <v>45316</v>
      </c>
      <c r="K2" s="179"/>
      <c r="L2" s="179"/>
      <c r="M2" s="178">
        <f>J2+1</f>
        <v>45317</v>
      </c>
      <c r="N2" s="179"/>
      <c r="O2" s="179"/>
      <c r="P2" s="178">
        <f>M2+1</f>
        <v>45318</v>
      </c>
      <c r="Q2" s="179"/>
      <c r="R2" s="179"/>
      <c r="S2" s="178">
        <f>P2+1</f>
        <v>45319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45313</v>
      </c>
      <c r="B3" s="168"/>
      <c r="C3" s="168"/>
      <c r="D3" s="168">
        <f>A3+1</f>
        <v>45314</v>
      </c>
      <c r="E3" s="168"/>
      <c r="F3" s="168"/>
      <c r="G3" s="168">
        <f>D3+1</f>
        <v>45315</v>
      </c>
      <c r="H3" s="168"/>
      <c r="I3" s="168"/>
      <c r="J3" s="168">
        <f>G3+1</f>
        <v>45316</v>
      </c>
      <c r="K3" s="168"/>
      <c r="L3" s="168"/>
      <c r="M3" s="168">
        <f>J3+1</f>
        <v>45317</v>
      </c>
      <c r="N3" s="168"/>
      <c r="O3" s="168"/>
      <c r="P3" s="168">
        <f>M3+1</f>
        <v>45318</v>
      </c>
      <c r="Q3" s="168"/>
      <c r="R3" s="168"/>
      <c r="S3" s="168">
        <f>P3+1</f>
        <v>45319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45313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45314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45315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45316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45317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45318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45319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3'!V32</f>
        <v>-120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9199" priority="159">
      <formula>COUNTIF(B5,"a")</formula>
    </cfRule>
    <cfRule type="expression" dxfId="9198" priority="161">
      <formula>COUNTIF(B5,"9")</formula>
    </cfRule>
    <cfRule type="expression" dxfId="9197" priority="163">
      <formula>COUNTIF(B5,"k")</formula>
    </cfRule>
    <cfRule type="expression" dxfId="9196" priority="164">
      <formula>COUNTIF(B5,"u")</formula>
    </cfRule>
    <cfRule type="expression" dxfId="9195" priority="167">
      <formula>COUNTIF(B5,"f")</formula>
    </cfRule>
    <cfRule type="expression" dxfId="9194" priority="168">
      <formula>COUNTIF(B5,"8")</formula>
    </cfRule>
    <cfRule type="expression" dxfId="9193" priority="169">
      <formula>COUNTIF(B5,"7")</formula>
    </cfRule>
    <cfRule type="expression" dxfId="9192" priority="170">
      <formula>COUNTIF(B5,"3")</formula>
    </cfRule>
    <cfRule type="expression" dxfId="9191" priority="181">
      <formula>COUNTIF(B5,"5")</formula>
    </cfRule>
    <cfRule type="expression" dxfId="9190" priority="182">
      <formula>COUNTIF(B5,"2")</formula>
    </cfRule>
    <cfRule type="expression" dxfId="9189" priority="183">
      <formula>COUNTIF(B5,"4")</formula>
    </cfRule>
    <cfRule type="expression" dxfId="9188" priority="184">
      <formula>COUNTIF(B5,"1")</formula>
    </cfRule>
  </conditionalFormatting>
  <conditionalFormatting sqref="B5:B36">
    <cfRule type="cellIs" dxfId="9187" priority="160" operator="equal">
      <formula>"a"</formula>
    </cfRule>
    <cfRule type="cellIs" dxfId="9186" priority="162" operator="equal">
      <formula>"k"</formula>
    </cfRule>
    <cfRule type="cellIs" dxfId="9185" priority="165" operator="equal">
      <formula>"u"</formula>
    </cfRule>
    <cfRule type="cellIs" dxfId="9184" priority="166" operator="equal">
      <formula>"f"</formula>
    </cfRule>
    <cfRule type="cellIs" dxfId="9183" priority="171" operator="equal">
      <formula>9</formula>
    </cfRule>
    <cfRule type="cellIs" dxfId="9182" priority="172" operator="equal">
      <formula>8</formula>
    </cfRule>
    <cfRule type="cellIs" dxfId="9181" priority="173" operator="equal">
      <formula>5</formula>
    </cfRule>
    <cfRule type="cellIs" dxfId="9180" priority="174" operator="equal">
      <formula>3</formula>
    </cfRule>
    <cfRule type="cellIs" dxfId="9179" priority="176" operator="equal">
      <formula>6</formula>
    </cfRule>
    <cfRule type="cellIs" dxfId="9178" priority="177" operator="equal">
      <formula>4</formula>
    </cfRule>
    <cfRule type="cellIs" dxfId="9177" priority="178" operator="equal">
      <formula>2</formula>
    </cfRule>
    <cfRule type="cellIs" dxfId="9176" priority="179" operator="equal">
      <formula>7</formula>
    </cfRule>
    <cfRule type="cellIs" dxfId="9175" priority="180" operator="equal">
      <formula>1</formula>
    </cfRule>
  </conditionalFormatting>
  <conditionalFormatting sqref="C5:C36">
    <cfRule type="expression" dxfId="9174" priority="175">
      <formula>COUNTIF(B5,"6")</formula>
    </cfRule>
  </conditionalFormatting>
  <conditionalFormatting sqref="E5:E36">
    <cfRule type="cellIs" dxfId="9173" priority="146" operator="equal">
      <formula>"a"</formula>
    </cfRule>
    <cfRule type="cellIs" dxfId="9172" priority="147" operator="equal">
      <formula>"k"</formula>
    </cfRule>
    <cfRule type="cellIs" dxfId="9171" priority="148" operator="equal">
      <formula>"u"</formula>
    </cfRule>
    <cfRule type="cellIs" dxfId="9170" priority="149" operator="equal">
      <formula>"f"</formula>
    </cfRule>
    <cfRule type="cellIs" dxfId="9169" priority="150" operator="equal">
      <formula>9</formula>
    </cfRule>
    <cfRule type="cellIs" dxfId="9168" priority="151" operator="equal">
      <formula>8</formula>
    </cfRule>
    <cfRule type="cellIs" dxfId="9167" priority="152" operator="equal">
      <formula>5</formula>
    </cfRule>
    <cfRule type="cellIs" dxfId="9166" priority="153" operator="equal">
      <formula>3</formula>
    </cfRule>
    <cfRule type="cellIs" dxfId="9165" priority="154" operator="equal">
      <formula>6</formula>
    </cfRule>
    <cfRule type="cellIs" dxfId="9164" priority="155" operator="equal">
      <formula>4</formula>
    </cfRule>
    <cfRule type="cellIs" dxfId="9163" priority="156" operator="equal">
      <formula>2</formula>
    </cfRule>
    <cfRule type="cellIs" dxfId="9162" priority="157" operator="equal">
      <formula>7</formula>
    </cfRule>
    <cfRule type="cellIs" dxfId="9161" priority="158" operator="equal">
      <formula>1</formula>
    </cfRule>
  </conditionalFormatting>
  <conditionalFormatting sqref="H5:H36">
    <cfRule type="cellIs" dxfId="9160" priority="133" operator="equal">
      <formula>"a"</formula>
    </cfRule>
    <cfRule type="cellIs" dxfId="9159" priority="134" operator="equal">
      <formula>"k"</formula>
    </cfRule>
    <cfRule type="cellIs" dxfId="9158" priority="135" operator="equal">
      <formula>"u"</formula>
    </cfRule>
    <cfRule type="cellIs" dxfId="9157" priority="136" operator="equal">
      <formula>"f"</formula>
    </cfRule>
    <cfRule type="cellIs" dxfId="9156" priority="137" operator="equal">
      <formula>9</formula>
    </cfRule>
    <cfRule type="cellIs" dxfId="9155" priority="138" operator="equal">
      <formula>8</formula>
    </cfRule>
    <cfRule type="cellIs" dxfId="9154" priority="139" operator="equal">
      <formula>5</formula>
    </cfRule>
    <cfRule type="cellIs" dxfId="9153" priority="140" operator="equal">
      <formula>3</formula>
    </cfRule>
    <cfRule type="cellIs" dxfId="9152" priority="141" operator="equal">
      <formula>6</formula>
    </cfRule>
    <cfRule type="cellIs" dxfId="9151" priority="142" operator="equal">
      <formula>4</formula>
    </cfRule>
    <cfRule type="cellIs" dxfId="9150" priority="143" operator="equal">
      <formula>2</formula>
    </cfRule>
    <cfRule type="cellIs" dxfId="9149" priority="144" operator="equal">
      <formula>7</formula>
    </cfRule>
    <cfRule type="cellIs" dxfId="9148" priority="145" operator="equal">
      <formula>1</formula>
    </cfRule>
  </conditionalFormatting>
  <conditionalFormatting sqref="K5:K36">
    <cfRule type="cellIs" dxfId="9147" priority="120" operator="equal">
      <formula>"a"</formula>
    </cfRule>
    <cfRule type="cellIs" dxfId="9146" priority="121" operator="equal">
      <formula>"k"</formula>
    </cfRule>
    <cfRule type="cellIs" dxfId="9145" priority="122" operator="equal">
      <formula>"u"</formula>
    </cfRule>
    <cfRule type="cellIs" dxfId="9144" priority="123" operator="equal">
      <formula>"f"</formula>
    </cfRule>
    <cfRule type="cellIs" dxfId="9143" priority="124" operator="equal">
      <formula>9</formula>
    </cfRule>
    <cfRule type="cellIs" dxfId="9142" priority="125" operator="equal">
      <formula>8</formula>
    </cfRule>
    <cfRule type="cellIs" dxfId="9141" priority="126" operator="equal">
      <formula>5</formula>
    </cfRule>
    <cfRule type="cellIs" dxfId="9140" priority="127" operator="equal">
      <formula>3</formula>
    </cfRule>
    <cfRule type="cellIs" dxfId="9139" priority="128" operator="equal">
      <formula>6</formula>
    </cfRule>
    <cfRule type="cellIs" dxfId="9138" priority="129" operator="equal">
      <formula>4</formula>
    </cfRule>
    <cfRule type="cellIs" dxfId="9137" priority="130" operator="equal">
      <formula>2</formula>
    </cfRule>
    <cfRule type="cellIs" dxfId="9136" priority="131" operator="equal">
      <formula>7</formula>
    </cfRule>
    <cfRule type="cellIs" dxfId="9135" priority="132" operator="equal">
      <formula>1</formula>
    </cfRule>
  </conditionalFormatting>
  <conditionalFormatting sqref="N5:N36">
    <cfRule type="cellIs" dxfId="9134" priority="107" operator="equal">
      <formula>"a"</formula>
    </cfRule>
    <cfRule type="cellIs" dxfId="9133" priority="108" operator="equal">
      <formula>"k"</formula>
    </cfRule>
    <cfRule type="cellIs" dxfId="9132" priority="109" operator="equal">
      <formula>"u"</formula>
    </cfRule>
    <cfRule type="cellIs" dxfId="9131" priority="110" operator="equal">
      <formula>"f"</formula>
    </cfRule>
    <cfRule type="cellIs" dxfId="9130" priority="111" operator="equal">
      <formula>9</formula>
    </cfRule>
    <cfRule type="cellIs" dxfId="9129" priority="112" operator="equal">
      <formula>8</formula>
    </cfRule>
    <cfRule type="cellIs" dxfId="9128" priority="113" operator="equal">
      <formula>5</formula>
    </cfRule>
    <cfRule type="cellIs" dxfId="9127" priority="114" operator="equal">
      <formula>3</formula>
    </cfRule>
    <cfRule type="cellIs" dxfId="9126" priority="115" operator="equal">
      <formula>6</formula>
    </cfRule>
    <cfRule type="cellIs" dxfId="9125" priority="116" operator="equal">
      <formula>4</formula>
    </cfRule>
    <cfRule type="cellIs" dxfId="9124" priority="117" operator="equal">
      <formula>2</formula>
    </cfRule>
    <cfRule type="cellIs" dxfId="9123" priority="118" operator="equal">
      <formula>7</formula>
    </cfRule>
    <cfRule type="cellIs" dxfId="9122" priority="119" operator="equal">
      <formula>1</formula>
    </cfRule>
  </conditionalFormatting>
  <conditionalFormatting sqref="Q5:Q36">
    <cfRule type="cellIs" dxfId="9121" priority="94" operator="equal">
      <formula>"a"</formula>
    </cfRule>
    <cfRule type="cellIs" dxfId="9120" priority="95" operator="equal">
      <formula>"k"</formula>
    </cfRule>
    <cfRule type="cellIs" dxfId="9119" priority="96" operator="equal">
      <formula>"u"</formula>
    </cfRule>
    <cfRule type="cellIs" dxfId="9118" priority="97" operator="equal">
      <formula>"f"</formula>
    </cfRule>
    <cfRule type="cellIs" dxfId="9117" priority="98" operator="equal">
      <formula>9</formula>
    </cfRule>
    <cfRule type="cellIs" dxfId="9116" priority="99" operator="equal">
      <formula>8</formula>
    </cfRule>
    <cfRule type="cellIs" dxfId="9115" priority="100" operator="equal">
      <formula>5</formula>
    </cfRule>
    <cfRule type="cellIs" dxfId="9114" priority="101" operator="equal">
      <formula>3</formula>
    </cfRule>
    <cfRule type="cellIs" dxfId="9113" priority="102" operator="equal">
      <formula>6</formula>
    </cfRule>
    <cfRule type="cellIs" dxfId="9112" priority="103" operator="equal">
      <formula>4</formula>
    </cfRule>
    <cfRule type="cellIs" dxfId="9111" priority="104" operator="equal">
      <formula>2</formula>
    </cfRule>
    <cfRule type="cellIs" dxfId="9110" priority="105" operator="equal">
      <formula>7</formula>
    </cfRule>
    <cfRule type="cellIs" dxfId="9109" priority="106" operator="equal">
      <formula>1</formula>
    </cfRule>
  </conditionalFormatting>
  <conditionalFormatting sqref="T5:T36">
    <cfRule type="cellIs" dxfId="9108" priority="81" operator="equal">
      <formula>"a"</formula>
    </cfRule>
    <cfRule type="cellIs" dxfId="9107" priority="82" operator="equal">
      <formula>"k"</formula>
    </cfRule>
    <cfRule type="cellIs" dxfId="9106" priority="83" operator="equal">
      <formula>"u"</formula>
    </cfRule>
    <cfRule type="cellIs" dxfId="9105" priority="84" operator="equal">
      <formula>"f"</formula>
    </cfRule>
    <cfRule type="cellIs" dxfId="9104" priority="85" operator="equal">
      <formula>9</formula>
    </cfRule>
    <cfRule type="cellIs" dxfId="9103" priority="86" operator="equal">
      <formula>8</formula>
    </cfRule>
    <cfRule type="cellIs" dxfId="9102" priority="87" operator="equal">
      <formula>5</formula>
    </cfRule>
    <cfRule type="cellIs" dxfId="9101" priority="88" operator="equal">
      <formula>3</formula>
    </cfRule>
    <cfRule type="cellIs" dxfId="9100" priority="89" operator="equal">
      <formula>6</formula>
    </cfRule>
    <cfRule type="cellIs" dxfId="9099" priority="90" operator="equal">
      <formula>4</formula>
    </cfRule>
    <cfRule type="cellIs" dxfId="9098" priority="91" operator="equal">
      <formula>2</formula>
    </cfRule>
    <cfRule type="cellIs" dxfId="9097" priority="92" operator="equal">
      <formula>7</formula>
    </cfRule>
    <cfRule type="cellIs" dxfId="9096" priority="93" operator="equal">
      <formula>1</formula>
    </cfRule>
  </conditionalFormatting>
  <conditionalFormatting sqref="F5:F36">
    <cfRule type="expression" dxfId="9095" priority="68">
      <formula>COUNTIF(E5,"a")</formula>
    </cfRule>
    <cfRule type="expression" dxfId="9094" priority="69">
      <formula>COUNTIF(E5,"9")</formula>
    </cfRule>
    <cfRule type="expression" dxfId="9093" priority="70">
      <formula>COUNTIF(E5,"k")</formula>
    </cfRule>
    <cfRule type="expression" dxfId="9092" priority="71">
      <formula>COUNTIF(E5,"u")</formula>
    </cfRule>
    <cfRule type="expression" dxfId="9091" priority="72">
      <formula>COUNTIF(E5,"f")</formula>
    </cfRule>
    <cfRule type="expression" dxfId="9090" priority="73">
      <formula>COUNTIF(E5,"8")</formula>
    </cfRule>
    <cfRule type="expression" dxfId="9089" priority="74">
      <formula>COUNTIF(E5,"7")</formula>
    </cfRule>
    <cfRule type="expression" dxfId="9088" priority="75">
      <formula>COUNTIF(E5,"3")</formula>
    </cfRule>
    <cfRule type="expression" dxfId="9087" priority="77">
      <formula>COUNTIF(E5,"5")</formula>
    </cfRule>
    <cfRule type="expression" dxfId="9086" priority="78">
      <formula>COUNTIF(E5,"2")</formula>
    </cfRule>
    <cfRule type="expression" dxfId="9085" priority="79">
      <formula>COUNTIF(E5,"4")</formula>
    </cfRule>
    <cfRule type="expression" dxfId="9084" priority="80">
      <formula>COUNTIF(E5,"1")</formula>
    </cfRule>
  </conditionalFormatting>
  <conditionalFormatting sqref="F5:F36">
    <cfRule type="expression" dxfId="9083" priority="76">
      <formula>COUNTIF(E5,"6")</formula>
    </cfRule>
  </conditionalFormatting>
  <conditionalFormatting sqref="I5:I36">
    <cfRule type="expression" dxfId="9082" priority="55">
      <formula>COUNTIF(H5,"a")</formula>
    </cfRule>
    <cfRule type="expression" dxfId="9081" priority="56">
      <formula>COUNTIF(H5,"9")</formula>
    </cfRule>
    <cfRule type="expression" dxfId="9080" priority="57">
      <formula>COUNTIF(H5,"k")</formula>
    </cfRule>
    <cfRule type="expression" dxfId="9079" priority="58">
      <formula>COUNTIF(H5,"u")</formula>
    </cfRule>
    <cfRule type="expression" dxfId="9078" priority="59">
      <formula>COUNTIF(H5,"f")</formula>
    </cfRule>
    <cfRule type="expression" dxfId="9077" priority="60">
      <formula>COUNTIF(H5,"8")</formula>
    </cfRule>
    <cfRule type="expression" dxfId="9076" priority="61">
      <formula>COUNTIF(H5,"7")</formula>
    </cfRule>
    <cfRule type="expression" dxfId="9075" priority="62">
      <formula>COUNTIF(H5,"3")</formula>
    </cfRule>
    <cfRule type="expression" dxfId="9074" priority="64">
      <formula>COUNTIF(H5,"5")</formula>
    </cfRule>
    <cfRule type="expression" dxfId="9073" priority="65">
      <formula>COUNTIF(H5,"2")</formula>
    </cfRule>
    <cfRule type="expression" dxfId="9072" priority="66">
      <formula>COUNTIF(H5,"4")</formula>
    </cfRule>
    <cfRule type="expression" dxfId="9071" priority="67">
      <formula>COUNTIF(H5,"1")</formula>
    </cfRule>
  </conditionalFormatting>
  <conditionalFormatting sqref="I5:I36">
    <cfRule type="expression" dxfId="9070" priority="63">
      <formula>COUNTIF(H5,"6")</formula>
    </cfRule>
  </conditionalFormatting>
  <conditionalFormatting sqref="L5:L36">
    <cfRule type="expression" dxfId="9069" priority="42">
      <formula>COUNTIF(K5,"a")</formula>
    </cfRule>
    <cfRule type="expression" dxfId="9068" priority="43">
      <formula>COUNTIF(K5,"9")</formula>
    </cfRule>
    <cfRule type="expression" dxfId="9067" priority="44">
      <formula>COUNTIF(K5,"k")</formula>
    </cfRule>
    <cfRule type="expression" dxfId="9066" priority="45">
      <formula>COUNTIF(K5,"u")</formula>
    </cfRule>
    <cfRule type="expression" dxfId="9065" priority="46">
      <formula>COUNTIF(K5,"f")</formula>
    </cfRule>
    <cfRule type="expression" dxfId="9064" priority="47">
      <formula>COUNTIF(K5,"8")</formula>
    </cfRule>
    <cfRule type="expression" dxfId="9063" priority="48">
      <formula>COUNTIF(K5,"7")</formula>
    </cfRule>
    <cfRule type="expression" dxfId="9062" priority="49">
      <formula>COUNTIF(K5,"3")</formula>
    </cfRule>
    <cfRule type="expression" dxfId="9061" priority="51">
      <formula>COUNTIF(K5,"5")</formula>
    </cfRule>
    <cfRule type="expression" dxfId="9060" priority="52">
      <formula>COUNTIF(K5,"2")</formula>
    </cfRule>
    <cfRule type="expression" dxfId="9059" priority="53">
      <formula>COUNTIF(K5,"4")</formula>
    </cfRule>
    <cfRule type="expression" dxfId="9058" priority="54">
      <formula>COUNTIF(K5,"1")</formula>
    </cfRule>
  </conditionalFormatting>
  <conditionalFormatting sqref="L5:L36">
    <cfRule type="expression" dxfId="9057" priority="50">
      <formula>COUNTIF(K5,"6")</formula>
    </cfRule>
  </conditionalFormatting>
  <conditionalFormatting sqref="O5:O36">
    <cfRule type="expression" dxfId="9056" priority="29">
      <formula>COUNTIF(N5,"a")</formula>
    </cfRule>
    <cfRule type="expression" dxfId="9055" priority="30">
      <formula>COUNTIF(N5,"9")</formula>
    </cfRule>
    <cfRule type="expression" dxfId="9054" priority="31">
      <formula>COUNTIF(N5,"k")</formula>
    </cfRule>
    <cfRule type="expression" dxfId="9053" priority="32">
      <formula>COUNTIF(N5,"u")</formula>
    </cfRule>
    <cfRule type="expression" dxfId="9052" priority="33">
      <formula>COUNTIF(N5,"f")</formula>
    </cfRule>
    <cfRule type="expression" dxfId="9051" priority="34">
      <formula>COUNTIF(N5,"8")</formula>
    </cfRule>
    <cfRule type="expression" dxfId="9050" priority="35">
      <formula>COUNTIF(N5,"7")</formula>
    </cfRule>
    <cfRule type="expression" dxfId="9049" priority="36">
      <formula>COUNTIF(N5,"3")</formula>
    </cfRule>
    <cfRule type="expression" dxfId="9048" priority="38">
      <formula>COUNTIF(N5,"5")</formula>
    </cfRule>
    <cfRule type="expression" dxfId="9047" priority="39">
      <formula>COUNTIF(N5,"2")</formula>
    </cfRule>
    <cfRule type="expression" dxfId="9046" priority="40">
      <formula>COUNTIF(N5,"4")</formula>
    </cfRule>
    <cfRule type="expression" dxfId="9045" priority="41">
      <formula>COUNTIF(N5,"1")</formula>
    </cfRule>
  </conditionalFormatting>
  <conditionalFormatting sqref="O5:O36">
    <cfRule type="expression" dxfId="9044" priority="37">
      <formula>COUNTIF(N5,"6")</formula>
    </cfRule>
  </conditionalFormatting>
  <conditionalFormatting sqref="R5:R36">
    <cfRule type="expression" dxfId="9043" priority="16">
      <formula>COUNTIF(Q5,"a")</formula>
    </cfRule>
    <cfRule type="expression" dxfId="9042" priority="17">
      <formula>COUNTIF(Q5,"9")</formula>
    </cfRule>
    <cfRule type="expression" dxfId="9041" priority="18">
      <formula>COUNTIF(Q5,"k")</formula>
    </cfRule>
    <cfRule type="expression" dxfId="9040" priority="19">
      <formula>COUNTIF(Q5,"u")</formula>
    </cfRule>
    <cfRule type="expression" dxfId="9039" priority="20">
      <formula>COUNTIF(Q5,"f")</formula>
    </cfRule>
    <cfRule type="expression" dxfId="9038" priority="21">
      <formula>COUNTIF(Q5,"8")</formula>
    </cfRule>
    <cfRule type="expression" dxfId="9037" priority="22">
      <formula>COUNTIF(Q5,"7")</formula>
    </cfRule>
    <cfRule type="expression" dxfId="9036" priority="23">
      <formula>COUNTIF(Q5,"3")</formula>
    </cfRule>
    <cfRule type="expression" dxfId="9035" priority="25">
      <formula>COUNTIF(Q5,"5")</formula>
    </cfRule>
    <cfRule type="expression" dxfId="9034" priority="26">
      <formula>COUNTIF(Q5,"2")</formula>
    </cfRule>
    <cfRule type="expression" dxfId="9033" priority="27">
      <formula>COUNTIF(Q5,"4")</formula>
    </cfRule>
    <cfRule type="expression" dxfId="9032" priority="28">
      <formula>COUNTIF(Q5,"1")</formula>
    </cfRule>
  </conditionalFormatting>
  <conditionalFormatting sqref="R5:R36">
    <cfRule type="expression" dxfId="9031" priority="24">
      <formula>COUNTIF(Q5,"6")</formula>
    </cfRule>
  </conditionalFormatting>
  <conditionalFormatting sqref="U5:U36">
    <cfRule type="expression" dxfId="9030" priority="3">
      <formula>COUNTIF(T5,"a")</formula>
    </cfRule>
    <cfRule type="expression" dxfId="9029" priority="4">
      <formula>COUNTIF(T5,"9")</formula>
    </cfRule>
    <cfRule type="expression" dxfId="9028" priority="5">
      <formula>COUNTIF(T5,"k")</formula>
    </cfRule>
    <cfRule type="expression" dxfId="9027" priority="6">
      <formula>COUNTIF(T5,"u")</formula>
    </cfRule>
    <cfRule type="expression" dxfId="9026" priority="7">
      <formula>COUNTIF(T5,"f")</formula>
    </cfRule>
    <cfRule type="expression" dxfId="9025" priority="8">
      <formula>COUNTIF(T5,"8")</formula>
    </cfRule>
    <cfRule type="expression" dxfId="9024" priority="9">
      <formula>COUNTIF(T5,"7")</formula>
    </cfRule>
    <cfRule type="expression" dxfId="9023" priority="10">
      <formula>COUNTIF(T5,"3")</formula>
    </cfRule>
    <cfRule type="expression" dxfId="9022" priority="12">
      <formula>COUNTIF(T5,"5")</formula>
    </cfRule>
    <cfRule type="expression" dxfId="9021" priority="13">
      <formula>COUNTIF(T5,"2")</formula>
    </cfRule>
    <cfRule type="expression" dxfId="9020" priority="14">
      <formula>COUNTIF(T5,"4")</formula>
    </cfRule>
    <cfRule type="expression" dxfId="9019" priority="15">
      <formula>COUNTIF(T5,"1")</formula>
    </cfRule>
  </conditionalFormatting>
  <conditionalFormatting sqref="U5:U36">
    <cfRule type="expression" dxfId="9018" priority="11">
      <formula>COUNTIF(T5,"6")</formula>
    </cfRule>
  </conditionalFormatting>
  <conditionalFormatting sqref="V32">
    <cfRule type="cellIs" dxfId="9017" priority="1" operator="lessThan">
      <formula>0</formula>
    </cfRule>
    <cfRule type="cellIs" dxfId="901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687583F-770F-E348-B9EA-F0A77A7E771A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3F252-3D0F-3D49-96C8-F7E9567CCC05}">
  <sheetPr codeName="Tabelle50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5</v>
      </c>
      <c r="Q1" s="176"/>
      <c r="R1" s="79">
        <f>DATE(V1,1,7*P1-3-WEEKDAY(DATE(V1,,),3))</f>
        <v>45320</v>
      </c>
      <c r="S1" s="80" t="s">
        <v>1</v>
      </c>
      <c r="T1" s="177">
        <f>DATE(V1,1,7*P1+3-WEEKDAY(DATE(V1,,),3))</f>
        <v>45326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45320</v>
      </c>
      <c r="B2" s="178"/>
      <c r="C2" s="178"/>
      <c r="D2" s="178">
        <f>A2+1</f>
        <v>45321</v>
      </c>
      <c r="E2" s="179"/>
      <c r="F2" s="179"/>
      <c r="G2" s="178">
        <f>D2+1</f>
        <v>45322</v>
      </c>
      <c r="H2" s="179"/>
      <c r="I2" s="179"/>
      <c r="J2" s="178">
        <f>G2+1</f>
        <v>45323</v>
      </c>
      <c r="K2" s="179"/>
      <c r="L2" s="179"/>
      <c r="M2" s="178">
        <f>J2+1</f>
        <v>45324</v>
      </c>
      <c r="N2" s="179"/>
      <c r="O2" s="179"/>
      <c r="P2" s="178">
        <f>M2+1</f>
        <v>45325</v>
      </c>
      <c r="Q2" s="179"/>
      <c r="R2" s="179"/>
      <c r="S2" s="178">
        <f>P2+1</f>
        <v>45326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45320</v>
      </c>
      <c r="B3" s="168"/>
      <c r="C3" s="168"/>
      <c r="D3" s="168">
        <f>A3+1</f>
        <v>45321</v>
      </c>
      <c r="E3" s="168"/>
      <c r="F3" s="168"/>
      <c r="G3" s="168">
        <f>D3+1</f>
        <v>45322</v>
      </c>
      <c r="H3" s="168"/>
      <c r="I3" s="168"/>
      <c r="J3" s="168">
        <f>G3+1</f>
        <v>45323</v>
      </c>
      <c r="K3" s="168"/>
      <c r="L3" s="168"/>
      <c r="M3" s="168">
        <f>J3+1</f>
        <v>45324</v>
      </c>
      <c r="N3" s="168"/>
      <c r="O3" s="168"/>
      <c r="P3" s="168">
        <f>M3+1</f>
        <v>45325</v>
      </c>
      <c r="Q3" s="168"/>
      <c r="R3" s="168"/>
      <c r="S3" s="168">
        <f>P3+1</f>
        <v>45326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45320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45321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45322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45323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45324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45325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45326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4'!V32</f>
        <v>-160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9015" priority="159">
      <formula>COUNTIF(B5,"a")</formula>
    </cfRule>
    <cfRule type="expression" dxfId="9014" priority="161">
      <formula>COUNTIF(B5,"9")</formula>
    </cfRule>
    <cfRule type="expression" dxfId="9013" priority="163">
      <formula>COUNTIF(B5,"k")</formula>
    </cfRule>
    <cfRule type="expression" dxfId="9012" priority="164">
      <formula>COUNTIF(B5,"u")</formula>
    </cfRule>
    <cfRule type="expression" dxfId="9011" priority="167">
      <formula>COUNTIF(B5,"f")</formula>
    </cfRule>
    <cfRule type="expression" dxfId="9010" priority="168">
      <formula>COUNTIF(B5,"8")</formula>
    </cfRule>
    <cfRule type="expression" dxfId="9009" priority="169">
      <formula>COUNTIF(B5,"7")</formula>
    </cfRule>
    <cfRule type="expression" dxfId="9008" priority="170">
      <formula>COUNTIF(B5,"3")</formula>
    </cfRule>
    <cfRule type="expression" dxfId="9007" priority="181">
      <formula>COUNTIF(B5,"5")</formula>
    </cfRule>
    <cfRule type="expression" dxfId="9006" priority="182">
      <formula>COUNTIF(B5,"2")</formula>
    </cfRule>
    <cfRule type="expression" dxfId="9005" priority="183">
      <formula>COUNTIF(B5,"4")</formula>
    </cfRule>
    <cfRule type="expression" dxfId="9004" priority="184">
      <formula>COUNTIF(B5,"1")</formula>
    </cfRule>
  </conditionalFormatting>
  <conditionalFormatting sqref="B5:B36">
    <cfRule type="cellIs" dxfId="9003" priority="160" operator="equal">
      <formula>"a"</formula>
    </cfRule>
    <cfRule type="cellIs" dxfId="9002" priority="162" operator="equal">
      <formula>"k"</formula>
    </cfRule>
    <cfRule type="cellIs" dxfId="9001" priority="165" operator="equal">
      <formula>"u"</formula>
    </cfRule>
    <cfRule type="cellIs" dxfId="9000" priority="166" operator="equal">
      <formula>"f"</formula>
    </cfRule>
    <cfRule type="cellIs" dxfId="8999" priority="171" operator="equal">
      <formula>9</formula>
    </cfRule>
    <cfRule type="cellIs" dxfId="8998" priority="172" operator="equal">
      <formula>8</formula>
    </cfRule>
    <cfRule type="cellIs" dxfId="8997" priority="173" operator="equal">
      <formula>5</formula>
    </cfRule>
    <cfRule type="cellIs" dxfId="8996" priority="174" operator="equal">
      <formula>3</formula>
    </cfRule>
    <cfRule type="cellIs" dxfId="8995" priority="176" operator="equal">
      <formula>6</formula>
    </cfRule>
    <cfRule type="cellIs" dxfId="8994" priority="177" operator="equal">
      <formula>4</formula>
    </cfRule>
    <cfRule type="cellIs" dxfId="8993" priority="178" operator="equal">
      <formula>2</formula>
    </cfRule>
    <cfRule type="cellIs" dxfId="8992" priority="179" operator="equal">
      <formula>7</formula>
    </cfRule>
    <cfRule type="cellIs" dxfId="8991" priority="180" operator="equal">
      <formula>1</formula>
    </cfRule>
  </conditionalFormatting>
  <conditionalFormatting sqref="C5:C36">
    <cfRule type="expression" dxfId="8990" priority="175">
      <formula>COUNTIF(B5,"6")</formula>
    </cfRule>
  </conditionalFormatting>
  <conditionalFormatting sqref="E5:E36">
    <cfRule type="cellIs" dxfId="8989" priority="146" operator="equal">
      <formula>"a"</formula>
    </cfRule>
    <cfRule type="cellIs" dxfId="8988" priority="147" operator="equal">
      <formula>"k"</formula>
    </cfRule>
    <cfRule type="cellIs" dxfId="8987" priority="148" operator="equal">
      <formula>"u"</formula>
    </cfRule>
    <cfRule type="cellIs" dxfId="8986" priority="149" operator="equal">
      <formula>"f"</formula>
    </cfRule>
    <cfRule type="cellIs" dxfId="8985" priority="150" operator="equal">
      <formula>9</formula>
    </cfRule>
    <cfRule type="cellIs" dxfId="8984" priority="151" operator="equal">
      <formula>8</formula>
    </cfRule>
    <cfRule type="cellIs" dxfId="8983" priority="152" operator="equal">
      <formula>5</formula>
    </cfRule>
    <cfRule type="cellIs" dxfId="8982" priority="153" operator="equal">
      <formula>3</formula>
    </cfRule>
    <cfRule type="cellIs" dxfId="8981" priority="154" operator="equal">
      <formula>6</formula>
    </cfRule>
    <cfRule type="cellIs" dxfId="8980" priority="155" operator="equal">
      <formula>4</formula>
    </cfRule>
    <cfRule type="cellIs" dxfId="8979" priority="156" operator="equal">
      <formula>2</formula>
    </cfRule>
    <cfRule type="cellIs" dxfId="8978" priority="157" operator="equal">
      <formula>7</formula>
    </cfRule>
    <cfRule type="cellIs" dxfId="8977" priority="158" operator="equal">
      <formula>1</formula>
    </cfRule>
  </conditionalFormatting>
  <conditionalFormatting sqref="H5:H36">
    <cfRule type="cellIs" dxfId="8976" priority="133" operator="equal">
      <formula>"a"</formula>
    </cfRule>
    <cfRule type="cellIs" dxfId="8975" priority="134" operator="equal">
      <formula>"k"</formula>
    </cfRule>
    <cfRule type="cellIs" dxfId="8974" priority="135" operator="equal">
      <formula>"u"</formula>
    </cfRule>
    <cfRule type="cellIs" dxfId="8973" priority="136" operator="equal">
      <formula>"f"</formula>
    </cfRule>
    <cfRule type="cellIs" dxfId="8972" priority="137" operator="equal">
      <formula>9</formula>
    </cfRule>
    <cfRule type="cellIs" dxfId="8971" priority="138" operator="equal">
      <formula>8</formula>
    </cfRule>
    <cfRule type="cellIs" dxfId="8970" priority="139" operator="equal">
      <formula>5</formula>
    </cfRule>
    <cfRule type="cellIs" dxfId="8969" priority="140" operator="equal">
      <formula>3</formula>
    </cfRule>
    <cfRule type="cellIs" dxfId="8968" priority="141" operator="equal">
      <formula>6</formula>
    </cfRule>
    <cfRule type="cellIs" dxfId="8967" priority="142" operator="equal">
      <formula>4</formula>
    </cfRule>
    <cfRule type="cellIs" dxfId="8966" priority="143" operator="equal">
      <formula>2</formula>
    </cfRule>
    <cfRule type="cellIs" dxfId="8965" priority="144" operator="equal">
      <formula>7</formula>
    </cfRule>
    <cfRule type="cellIs" dxfId="8964" priority="145" operator="equal">
      <formula>1</formula>
    </cfRule>
  </conditionalFormatting>
  <conditionalFormatting sqref="K5:K36">
    <cfRule type="cellIs" dxfId="8963" priority="120" operator="equal">
      <formula>"a"</formula>
    </cfRule>
    <cfRule type="cellIs" dxfId="8962" priority="121" operator="equal">
      <formula>"k"</formula>
    </cfRule>
    <cfRule type="cellIs" dxfId="8961" priority="122" operator="equal">
      <formula>"u"</formula>
    </cfRule>
    <cfRule type="cellIs" dxfId="8960" priority="123" operator="equal">
      <formula>"f"</formula>
    </cfRule>
    <cfRule type="cellIs" dxfId="8959" priority="124" operator="equal">
      <formula>9</formula>
    </cfRule>
    <cfRule type="cellIs" dxfId="8958" priority="125" operator="equal">
      <formula>8</formula>
    </cfRule>
    <cfRule type="cellIs" dxfId="8957" priority="126" operator="equal">
      <formula>5</formula>
    </cfRule>
    <cfRule type="cellIs" dxfId="8956" priority="127" operator="equal">
      <formula>3</formula>
    </cfRule>
    <cfRule type="cellIs" dxfId="8955" priority="128" operator="equal">
      <formula>6</formula>
    </cfRule>
    <cfRule type="cellIs" dxfId="8954" priority="129" operator="equal">
      <formula>4</formula>
    </cfRule>
    <cfRule type="cellIs" dxfId="8953" priority="130" operator="equal">
      <formula>2</formula>
    </cfRule>
    <cfRule type="cellIs" dxfId="8952" priority="131" operator="equal">
      <formula>7</formula>
    </cfRule>
    <cfRule type="cellIs" dxfId="8951" priority="132" operator="equal">
      <formula>1</formula>
    </cfRule>
  </conditionalFormatting>
  <conditionalFormatting sqref="N5:N36">
    <cfRule type="cellIs" dxfId="8950" priority="107" operator="equal">
      <formula>"a"</formula>
    </cfRule>
    <cfRule type="cellIs" dxfId="8949" priority="108" operator="equal">
      <formula>"k"</formula>
    </cfRule>
    <cfRule type="cellIs" dxfId="8948" priority="109" operator="equal">
      <formula>"u"</formula>
    </cfRule>
    <cfRule type="cellIs" dxfId="8947" priority="110" operator="equal">
      <formula>"f"</formula>
    </cfRule>
    <cfRule type="cellIs" dxfId="8946" priority="111" operator="equal">
      <formula>9</formula>
    </cfRule>
    <cfRule type="cellIs" dxfId="8945" priority="112" operator="equal">
      <formula>8</formula>
    </cfRule>
    <cfRule type="cellIs" dxfId="8944" priority="113" operator="equal">
      <formula>5</formula>
    </cfRule>
    <cfRule type="cellIs" dxfId="8943" priority="114" operator="equal">
      <formula>3</formula>
    </cfRule>
    <cfRule type="cellIs" dxfId="8942" priority="115" operator="equal">
      <formula>6</formula>
    </cfRule>
    <cfRule type="cellIs" dxfId="8941" priority="116" operator="equal">
      <formula>4</formula>
    </cfRule>
    <cfRule type="cellIs" dxfId="8940" priority="117" operator="equal">
      <formula>2</formula>
    </cfRule>
    <cfRule type="cellIs" dxfId="8939" priority="118" operator="equal">
      <formula>7</formula>
    </cfRule>
    <cfRule type="cellIs" dxfId="8938" priority="119" operator="equal">
      <formula>1</formula>
    </cfRule>
  </conditionalFormatting>
  <conditionalFormatting sqref="Q5:Q36">
    <cfRule type="cellIs" dxfId="8937" priority="94" operator="equal">
      <formula>"a"</formula>
    </cfRule>
    <cfRule type="cellIs" dxfId="8936" priority="95" operator="equal">
      <formula>"k"</formula>
    </cfRule>
    <cfRule type="cellIs" dxfId="8935" priority="96" operator="equal">
      <formula>"u"</formula>
    </cfRule>
    <cfRule type="cellIs" dxfId="8934" priority="97" operator="equal">
      <formula>"f"</formula>
    </cfRule>
    <cfRule type="cellIs" dxfId="8933" priority="98" operator="equal">
      <formula>9</formula>
    </cfRule>
    <cfRule type="cellIs" dxfId="8932" priority="99" operator="equal">
      <formula>8</formula>
    </cfRule>
    <cfRule type="cellIs" dxfId="8931" priority="100" operator="equal">
      <formula>5</formula>
    </cfRule>
    <cfRule type="cellIs" dxfId="8930" priority="101" operator="equal">
      <formula>3</formula>
    </cfRule>
    <cfRule type="cellIs" dxfId="8929" priority="102" operator="equal">
      <formula>6</formula>
    </cfRule>
    <cfRule type="cellIs" dxfId="8928" priority="103" operator="equal">
      <formula>4</formula>
    </cfRule>
    <cfRule type="cellIs" dxfId="8927" priority="104" operator="equal">
      <formula>2</formula>
    </cfRule>
    <cfRule type="cellIs" dxfId="8926" priority="105" operator="equal">
      <formula>7</formula>
    </cfRule>
    <cfRule type="cellIs" dxfId="8925" priority="106" operator="equal">
      <formula>1</formula>
    </cfRule>
  </conditionalFormatting>
  <conditionalFormatting sqref="T5:T36">
    <cfRule type="cellIs" dxfId="8924" priority="81" operator="equal">
      <formula>"a"</formula>
    </cfRule>
    <cfRule type="cellIs" dxfId="8923" priority="82" operator="equal">
      <formula>"k"</formula>
    </cfRule>
    <cfRule type="cellIs" dxfId="8922" priority="83" operator="equal">
      <formula>"u"</formula>
    </cfRule>
    <cfRule type="cellIs" dxfId="8921" priority="84" operator="equal">
      <formula>"f"</formula>
    </cfRule>
    <cfRule type="cellIs" dxfId="8920" priority="85" operator="equal">
      <formula>9</formula>
    </cfRule>
    <cfRule type="cellIs" dxfId="8919" priority="86" operator="equal">
      <formula>8</formula>
    </cfRule>
    <cfRule type="cellIs" dxfId="8918" priority="87" operator="equal">
      <formula>5</formula>
    </cfRule>
    <cfRule type="cellIs" dxfId="8917" priority="88" operator="equal">
      <formula>3</formula>
    </cfRule>
    <cfRule type="cellIs" dxfId="8916" priority="89" operator="equal">
      <formula>6</formula>
    </cfRule>
    <cfRule type="cellIs" dxfId="8915" priority="90" operator="equal">
      <formula>4</formula>
    </cfRule>
    <cfRule type="cellIs" dxfId="8914" priority="91" operator="equal">
      <formula>2</formula>
    </cfRule>
    <cfRule type="cellIs" dxfId="8913" priority="92" operator="equal">
      <formula>7</formula>
    </cfRule>
    <cfRule type="cellIs" dxfId="8912" priority="93" operator="equal">
      <formula>1</formula>
    </cfRule>
  </conditionalFormatting>
  <conditionalFormatting sqref="F5:F36">
    <cfRule type="expression" dxfId="8911" priority="68">
      <formula>COUNTIF(E5,"a")</formula>
    </cfRule>
    <cfRule type="expression" dxfId="8910" priority="69">
      <formula>COUNTIF(E5,"9")</formula>
    </cfRule>
    <cfRule type="expression" dxfId="8909" priority="70">
      <formula>COUNTIF(E5,"k")</formula>
    </cfRule>
    <cfRule type="expression" dxfId="8908" priority="71">
      <formula>COUNTIF(E5,"u")</formula>
    </cfRule>
    <cfRule type="expression" dxfId="8907" priority="72">
      <formula>COUNTIF(E5,"f")</formula>
    </cfRule>
    <cfRule type="expression" dxfId="8906" priority="73">
      <formula>COUNTIF(E5,"8")</formula>
    </cfRule>
    <cfRule type="expression" dxfId="8905" priority="74">
      <formula>COUNTIF(E5,"7")</formula>
    </cfRule>
    <cfRule type="expression" dxfId="8904" priority="75">
      <formula>COUNTIF(E5,"3")</formula>
    </cfRule>
    <cfRule type="expression" dxfId="8903" priority="77">
      <formula>COUNTIF(E5,"5")</formula>
    </cfRule>
    <cfRule type="expression" dxfId="8902" priority="78">
      <formula>COUNTIF(E5,"2")</formula>
    </cfRule>
    <cfRule type="expression" dxfId="8901" priority="79">
      <formula>COUNTIF(E5,"4")</formula>
    </cfRule>
    <cfRule type="expression" dxfId="8900" priority="80">
      <formula>COUNTIF(E5,"1")</formula>
    </cfRule>
  </conditionalFormatting>
  <conditionalFormatting sqref="F5:F36">
    <cfRule type="expression" dxfId="8899" priority="76">
      <formula>COUNTIF(E5,"6")</formula>
    </cfRule>
  </conditionalFormatting>
  <conditionalFormatting sqref="I5:I36">
    <cfRule type="expression" dxfId="8898" priority="55">
      <formula>COUNTIF(H5,"a")</formula>
    </cfRule>
    <cfRule type="expression" dxfId="8897" priority="56">
      <formula>COUNTIF(H5,"9")</formula>
    </cfRule>
    <cfRule type="expression" dxfId="8896" priority="57">
      <formula>COUNTIF(H5,"k")</formula>
    </cfRule>
    <cfRule type="expression" dxfId="8895" priority="58">
      <formula>COUNTIF(H5,"u")</formula>
    </cfRule>
    <cfRule type="expression" dxfId="8894" priority="59">
      <formula>COUNTIF(H5,"f")</formula>
    </cfRule>
    <cfRule type="expression" dxfId="8893" priority="60">
      <formula>COUNTIF(H5,"8")</formula>
    </cfRule>
    <cfRule type="expression" dxfId="8892" priority="61">
      <formula>COUNTIF(H5,"7")</formula>
    </cfRule>
    <cfRule type="expression" dxfId="8891" priority="62">
      <formula>COUNTIF(H5,"3")</formula>
    </cfRule>
    <cfRule type="expression" dxfId="8890" priority="64">
      <formula>COUNTIF(H5,"5")</formula>
    </cfRule>
    <cfRule type="expression" dxfId="8889" priority="65">
      <formula>COUNTIF(H5,"2")</formula>
    </cfRule>
    <cfRule type="expression" dxfId="8888" priority="66">
      <formula>COUNTIF(H5,"4")</formula>
    </cfRule>
    <cfRule type="expression" dxfId="8887" priority="67">
      <formula>COUNTIF(H5,"1")</formula>
    </cfRule>
  </conditionalFormatting>
  <conditionalFormatting sqref="I5:I36">
    <cfRule type="expression" dxfId="8886" priority="63">
      <formula>COUNTIF(H5,"6")</formula>
    </cfRule>
  </conditionalFormatting>
  <conditionalFormatting sqref="L5:L36">
    <cfRule type="expression" dxfId="8885" priority="42">
      <formula>COUNTIF(K5,"a")</formula>
    </cfRule>
    <cfRule type="expression" dxfId="8884" priority="43">
      <formula>COUNTIF(K5,"9")</formula>
    </cfRule>
    <cfRule type="expression" dxfId="8883" priority="44">
      <formula>COUNTIF(K5,"k")</formula>
    </cfRule>
    <cfRule type="expression" dxfId="8882" priority="45">
      <formula>COUNTIF(K5,"u")</formula>
    </cfRule>
    <cfRule type="expression" dxfId="8881" priority="46">
      <formula>COUNTIF(K5,"f")</formula>
    </cfRule>
    <cfRule type="expression" dxfId="8880" priority="47">
      <formula>COUNTIF(K5,"8")</formula>
    </cfRule>
    <cfRule type="expression" dxfId="8879" priority="48">
      <formula>COUNTIF(K5,"7")</formula>
    </cfRule>
    <cfRule type="expression" dxfId="8878" priority="49">
      <formula>COUNTIF(K5,"3")</formula>
    </cfRule>
    <cfRule type="expression" dxfId="8877" priority="51">
      <formula>COUNTIF(K5,"5")</formula>
    </cfRule>
    <cfRule type="expression" dxfId="8876" priority="52">
      <formula>COUNTIF(K5,"2")</formula>
    </cfRule>
    <cfRule type="expression" dxfId="8875" priority="53">
      <formula>COUNTIF(K5,"4")</formula>
    </cfRule>
    <cfRule type="expression" dxfId="8874" priority="54">
      <formula>COUNTIF(K5,"1")</formula>
    </cfRule>
  </conditionalFormatting>
  <conditionalFormatting sqref="L5:L36">
    <cfRule type="expression" dxfId="8873" priority="50">
      <formula>COUNTIF(K5,"6")</formula>
    </cfRule>
  </conditionalFormatting>
  <conditionalFormatting sqref="O5:O36">
    <cfRule type="expression" dxfId="8872" priority="29">
      <formula>COUNTIF(N5,"a")</formula>
    </cfRule>
    <cfRule type="expression" dxfId="8871" priority="30">
      <formula>COUNTIF(N5,"9")</formula>
    </cfRule>
    <cfRule type="expression" dxfId="8870" priority="31">
      <formula>COUNTIF(N5,"k")</formula>
    </cfRule>
    <cfRule type="expression" dxfId="8869" priority="32">
      <formula>COUNTIF(N5,"u")</formula>
    </cfRule>
    <cfRule type="expression" dxfId="8868" priority="33">
      <formula>COUNTIF(N5,"f")</formula>
    </cfRule>
    <cfRule type="expression" dxfId="8867" priority="34">
      <formula>COUNTIF(N5,"8")</formula>
    </cfRule>
    <cfRule type="expression" dxfId="8866" priority="35">
      <formula>COUNTIF(N5,"7")</formula>
    </cfRule>
    <cfRule type="expression" dxfId="8865" priority="36">
      <formula>COUNTIF(N5,"3")</formula>
    </cfRule>
    <cfRule type="expression" dxfId="8864" priority="38">
      <formula>COUNTIF(N5,"5")</formula>
    </cfRule>
    <cfRule type="expression" dxfId="8863" priority="39">
      <formula>COUNTIF(N5,"2")</formula>
    </cfRule>
    <cfRule type="expression" dxfId="8862" priority="40">
      <formula>COUNTIF(N5,"4")</formula>
    </cfRule>
    <cfRule type="expression" dxfId="8861" priority="41">
      <formula>COUNTIF(N5,"1")</formula>
    </cfRule>
  </conditionalFormatting>
  <conditionalFormatting sqref="O5:O36">
    <cfRule type="expression" dxfId="8860" priority="37">
      <formula>COUNTIF(N5,"6")</formula>
    </cfRule>
  </conditionalFormatting>
  <conditionalFormatting sqref="R5:R36">
    <cfRule type="expression" dxfId="8859" priority="16">
      <formula>COUNTIF(Q5,"a")</formula>
    </cfRule>
    <cfRule type="expression" dxfId="8858" priority="17">
      <formula>COUNTIF(Q5,"9")</formula>
    </cfRule>
    <cfRule type="expression" dxfId="8857" priority="18">
      <formula>COUNTIF(Q5,"k")</formula>
    </cfRule>
    <cfRule type="expression" dxfId="8856" priority="19">
      <formula>COUNTIF(Q5,"u")</formula>
    </cfRule>
    <cfRule type="expression" dxfId="8855" priority="20">
      <formula>COUNTIF(Q5,"f")</formula>
    </cfRule>
    <cfRule type="expression" dxfId="8854" priority="21">
      <formula>COUNTIF(Q5,"8")</formula>
    </cfRule>
    <cfRule type="expression" dxfId="8853" priority="22">
      <formula>COUNTIF(Q5,"7")</formula>
    </cfRule>
    <cfRule type="expression" dxfId="8852" priority="23">
      <formula>COUNTIF(Q5,"3")</formula>
    </cfRule>
    <cfRule type="expression" dxfId="8851" priority="25">
      <formula>COUNTIF(Q5,"5")</formula>
    </cfRule>
    <cfRule type="expression" dxfId="8850" priority="26">
      <formula>COUNTIF(Q5,"2")</formula>
    </cfRule>
    <cfRule type="expression" dxfId="8849" priority="27">
      <formula>COUNTIF(Q5,"4")</formula>
    </cfRule>
    <cfRule type="expression" dxfId="8848" priority="28">
      <formula>COUNTIF(Q5,"1")</formula>
    </cfRule>
  </conditionalFormatting>
  <conditionalFormatting sqref="R5:R36">
    <cfRule type="expression" dxfId="8847" priority="24">
      <formula>COUNTIF(Q5,"6")</formula>
    </cfRule>
  </conditionalFormatting>
  <conditionalFormatting sqref="U5:U36">
    <cfRule type="expression" dxfId="8846" priority="3">
      <formula>COUNTIF(T5,"a")</formula>
    </cfRule>
    <cfRule type="expression" dxfId="8845" priority="4">
      <formula>COUNTIF(T5,"9")</formula>
    </cfRule>
    <cfRule type="expression" dxfId="8844" priority="5">
      <formula>COUNTIF(T5,"k")</formula>
    </cfRule>
    <cfRule type="expression" dxfId="8843" priority="6">
      <formula>COUNTIF(T5,"u")</formula>
    </cfRule>
    <cfRule type="expression" dxfId="8842" priority="7">
      <formula>COUNTIF(T5,"f")</formula>
    </cfRule>
    <cfRule type="expression" dxfId="8841" priority="8">
      <formula>COUNTIF(T5,"8")</formula>
    </cfRule>
    <cfRule type="expression" dxfId="8840" priority="9">
      <formula>COUNTIF(T5,"7")</formula>
    </cfRule>
    <cfRule type="expression" dxfId="8839" priority="10">
      <formula>COUNTIF(T5,"3")</formula>
    </cfRule>
    <cfRule type="expression" dxfId="8838" priority="12">
      <formula>COUNTIF(T5,"5")</formula>
    </cfRule>
    <cfRule type="expression" dxfId="8837" priority="13">
      <formula>COUNTIF(T5,"2")</formula>
    </cfRule>
    <cfRule type="expression" dxfId="8836" priority="14">
      <formula>COUNTIF(T5,"4")</formula>
    </cfRule>
    <cfRule type="expression" dxfId="8835" priority="15">
      <formula>COUNTIF(T5,"1")</formula>
    </cfRule>
  </conditionalFormatting>
  <conditionalFormatting sqref="U5:U36">
    <cfRule type="expression" dxfId="8834" priority="11">
      <formula>COUNTIF(T5,"6")</formula>
    </cfRule>
  </conditionalFormatting>
  <conditionalFormatting sqref="V32">
    <cfRule type="cellIs" dxfId="8833" priority="1" operator="lessThan">
      <formula>0</formula>
    </cfRule>
    <cfRule type="cellIs" dxfId="883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EFBB041D-401E-AB46-8CB2-8CDF8AC141A4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8C5B-8F23-0E4D-B984-DC884CE1758F}">
  <sheetPr codeName="Tabelle51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6</v>
      </c>
      <c r="Q1" s="176"/>
      <c r="R1" s="79">
        <f>DATE(V1,1,7*P1-3-WEEKDAY(DATE(V1,,),3))</f>
        <v>45327</v>
      </c>
      <c r="S1" s="80" t="s">
        <v>1</v>
      </c>
      <c r="T1" s="177">
        <f>DATE(V1,1,7*P1+3-WEEKDAY(DATE(V1,,),3))</f>
        <v>45333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45327</v>
      </c>
      <c r="B2" s="178"/>
      <c r="C2" s="178"/>
      <c r="D2" s="178">
        <f>A2+1</f>
        <v>45328</v>
      </c>
      <c r="E2" s="179"/>
      <c r="F2" s="179"/>
      <c r="G2" s="178">
        <f>D2+1</f>
        <v>45329</v>
      </c>
      <c r="H2" s="179"/>
      <c r="I2" s="179"/>
      <c r="J2" s="178">
        <f>G2+1</f>
        <v>45330</v>
      </c>
      <c r="K2" s="179"/>
      <c r="L2" s="179"/>
      <c r="M2" s="178">
        <f>J2+1</f>
        <v>45331</v>
      </c>
      <c r="N2" s="179"/>
      <c r="O2" s="179"/>
      <c r="P2" s="178">
        <f>M2+1</f>
        <v>45332</v>
      </c>
      <c r="Q2" s="179"/>
      <c r="R2" s="179"/>
      <c r="S2" s="178">
        <f>P2+1</f>
        <v>45333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45327</v>
      </c>
      <c r="B3" s="168"/>
      <c r="C3" s="168"/>
      <c r="D3" s="168">
        <f>A3+1</f>
        <v>45328</v>
      </c>
      <c r="E3" s="168"/>
      <c r="F3" s="168"/>
      <c r="G3" s="168">
        <f>D3+1</f>
        <v>45329</v>
      </c>
      <c r="H3" s="168"/>
      <c r="I3" s="168"/>
      <c r="J3" s="168">
        <f>G3+1</f>
        <v>45330</v>
      </c>
      <c r="K3" s="168"/>
      <c r="L3" s="168"/>
      <c r="M3" s="168">
        <f>J3+1</f>
        <v>45331</v>
      </c>
      <c r="N3" s="168"/>
      <c r="O3" s="168"/>
      <c r="P3" s="168">
        <f>M3+1</f>
        <v>45332</v>
      </c>
      <c r="Q3" s="168"/>
      <c r="R3" s="168"/>
      <c r="S3" s="168">
        <f>P3+1</f>
        <v>45333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45327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45328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45329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45330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45331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45332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45333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5'!V32</f>
        <v>-200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8831" priority="159">
      <formula>COUNTIF(B5,"a")</formula>
    </cfRule>
    <cfRule type="expression" dxfId="8830" priority="161">
      <formula>COUNTIF(B5,"9")</formula>
    </cfRule>
    <cfRule type="expression" dxfId="8829" priority="163">
      <formula>COUNTIF(B5,"k")</formula>
    </cfRule>
    <cfRule type="expression" dxfId="8828" priority="164">
      <formula>COUNTIF(B5,"u")</formula>
    </cfRule>
    <cfRule type="expression" dxfId="8827" priority="167">
      <formula>COUNTIF(B5,"f")</formula>
    </cfRule>
    <cfRule type="expression" dxfId="8826" priority="168">
      <formula>COUNTIF(B5,"8")</formula>
    </cfRule>
    <cfRule type="expression" dxfId="8825" priority="169">
      <formula>COUNTIF(B5,"7")</formula>
    </cfRule>
    <cfRule type="expression" dxfId="8824" priority="170">
      <formula>COUNTIF(B5,"3")</formula>
    </cfRule>
    <cfRule type="expression" dxfId="8823" priority="181">
      <formula>COUNTIF(B5,"5")</formula>
    </cfRule>
    <cfRule type="expression" dxfId="8822" priority="182">
      <formula>COUNTIF(B5,"2")</formula>
    </cfRule>
    <cfRule type="expression" dxfId="8821" priority="183">
      <formula>COUNTIF(B5,"4")</formula>
    </cfRule>
    <cfRule type="expression" dxfId="8820" priority="184">
      <formula>COUNTIF(B5,"1")</formula>
    </cfRule>
  </conditionalFormatting>
  <conditionalFormatting sqref="B5:B36">
    <cfRule type="cellIs" dxfId="8819" priority="160" operator="equal">
      <formula>"a"</formula>
    </cfRule>
    <cfRule type="cellIs" dxfId="8818" priority="162" operator="equal">
      <formula>"k"</formula>
    </cfRule>
    <cfRule type="cellIs" dxfId="8817" priority="165" operator="equal">
      <formula>"u"</formula>
    </cfRule>
    <cfRule type="cellIs" dxfId="8816" priority="166" operator="equal">
      <formula>"f"</formula>
    </cfRule>
    <cfRule type="cellIs" dxfId="8815" priority="171" operator="equal">
      <formula>9</formula>
    </cfRule>
    <cfRule type="cellIs" dxfId="8814" priority="172" operator="equal">
      <formula>8</formula>
    </cfRule>
    <cfRule type="cellIs" dxfId="8813" priority="173" operator="equal">
      <formula>5</formula>
    </cfRule>
    <cfRule type="cellIs" dxfId="8812" priority="174" operator="equal">
      <formula>3</formula>
    </cfRule>
    <cfRule type="cellIs" dxfId="8811" priority="176" operator="equal">
      <formula>6</formula>
    </cfRule>
    <cfRule type="cellIs" dxfId="8810" priority="177" operator="equal">
      <formula>4</formula>
    </cfRule>
    <cfRule type="cellIs" dxfId="8809" priority="178" operator="equal">
      <formula>2</formula>
    </cfRule>
    <cfRule type="cellIs" dxfId="8808" priority="179" operator="equal">
      <formula>7</formula>
    </cfRule>
    <cfRule type="cellIs" dxfId="8807" priority="180" operator="equal">
      <formula>1</formula>
    </cfRule>
  </conditionalFormatting>
  <conditionalFormatting sqref="C5:C36">
    <cfRule type="expression" dxfId="8806" priority="175">
      <formula>COUNTIF(B5,"6")</formula>
    </cfRule>
  </conditionalFormatting>
  <conditionalFormatting sqref="E5:E36">
    <cfRule type="cellIs" dxfId="8805" priority="146" operator="equal">
      <formula>"a"</formula>
    </cfRule>
    <cfRule type="cellIs" dxfId="8804" priority="147" operator="equal">
      <formula>"k"</formula>
    </cfRule>
    <cfRule type="cellIs" dxfId="8803" priority="148" operator="equal">
      <formula>"u"</formula>
    </cfRule>
    <cfRule type="cellIs" dxfId="8802" priority="149" operator="equal">
      <formula>"f"</formula>
    </cfRule>
    <cfRule type="cellIs" dxfId="8801" priority="150" operator="equal">
      <formula>9</formula>
    </cfRule>
    <cfRule type="cellIs" dxfId="8800" priority="151" operator="equal">
      <formula>8</formula>
    </cfRule>
    <cfRule type="cellIs" dxfId="8799" priority="152" operator="equal">
      <formula>5</formula>
    </cfRule>
    <cfRule type="cellIs" dxfId="8798" priority="153" operator="equal">
      <formula>3</formula>
    </cfRule>
    <cfRule type="cellIs" dxfId="8797" priority="154" operator="equal">
      <formula>6</formula>
    </cfRule>
    <cfRule type="cellIs" dxfId="8796" priority="155" operator="equal">
      <formula>4</formula>
    </cfRule>
    <cfRule type="cellIs" dxfId="8795" priority="156" operator="equal">
      <formula>2</formula>
    </cfRule>
    <cfRule type="cellIs" dxfId="8794" priority="157" operator="equal">
      <formula>7</formula>
    </cfRule>
    <cfRule type="cellIs" dxfId="8793" priority="158" operator="equal">
      <formula>1</formula>
    </cfRule>
  </conditionalFormatting>
  <conditionalFormatting sqref="H5:H36">
    <cfRule type="cellIs" dxfId="8792" priority="133" operator="equal">
      <formula>"a"</formula>
    </cfRule>
    <cfRule type="cellIs" dxfId="8791" priority="134" operator="equal">
      <formula>"k"</formula>
    </cfRule>
    <cfRule type="cellIs" dxfId="8790" priority="135" operator="equal">
      <formula>"u"</formula>
    </cfRule>
    <cfRule type="cellIs" dxfId="8789" priority="136" operator="equal">
      <formula>"f"</formula>
    </cfRule>
    <cfRule type="cellIs" dxfId="8788" priority="137" operator="equal">
      <formula>9</formula>
    </cfRule>
    <cfRule type="cellIs" dxfId="8787" priority="138" operator="equal">
      <formula>8</formula>
    </cfRule>
    <cfRule type="cellIs" dxfId="8786" priority="139" operator="equal">
      <formula>5</formula>
    </cfRule>
    <cfRule type="cellIs" dxfId="8785" priority="140" operator="equal">
      <formula>3</formula>
    </cfRule>
    <cfRule type="cellIs" dxfId="8784" priority="141" operator="equal">
      <formula>6</formula>
    </cfRule>
    <cfRule type="cellIs" dxfId="8783" priority="142" operator="equal">
      <formula>4</formula>
    </cfRule>
    <cfRule type="cellIs" dxfId="8782" priority="143" operator="equal">
      <formula>2</formula>
    </cfRule>
    <cfRule type="cellIs" dxfId="8781" priority="144" operator="equal">
      <formula>7</formula>
    </cfRule>
    <cfRule type="cellIs" dxfId="8780" priority="145" operator="equal">
      <formula>1</formula>
    </cfRule>
  </conditionalFormatting>
  <conditionalFormatting sqref="K5:K36">
    <cfRule type="cellIs" dxfId="8779" priority="120" operator="equal">
      <formula>"a"</formula>
    </cfRule>
    <cfRule type="cellIs" dxfId="8778" priority="121" operator="equal">
      <formula>"k"</formula>
    </cfRule>
    <cfRule type="cellIs" dxfId="8777" priority="122" operator="equal">
      <formula>"u"</formula>
    </cfRule>
    <cfRule type="cellIs" dxfId="8776" priority="123" operator="equal">
      <formula>"f"</formula>
    </cfRule>
    <cfRule type="cellIs" dxfId="8775" priority="124" operator="equal">
      <formula>9</formula>
    </cfRule>
    <cfRule type="cellIs" dxfId="8774" priority="125" operator="equal">
      <formula>8</formula>
    </cfRule>
    <cfRule type="cellIs" dxfId="8773" priority="126" operator="equal">
      <formula>5</formula>
    </cfRule>
    <cfRule type="cellIs" dxfId="8772" priority="127" operator="equal">
      <formula>3</formula>
    </cfRule>
    <cfRule type="cellIs" dxfId="8771" priority="128" operator="equal">
      <formula>6</formula>
    </cfRule>
    <cfRule type="cellIs" dxfId="8770" priority="129" operator="equal">
      <formula>4</formula>
    </cfRule>
    <cfRule type="cellIs" dxfId="8769" priority="130" operator="equal">
      <formula>2</formula>
    </cfRule>
    <cfRule type="cellIs" dxfId="8768" priority="131" operator="equal">
      <formula>7</formula>
    </cfRule>
    <cfRule type="cellIs" dxfId="8767" priority="132" operator="equal">
      <formula>1</formula>
    </cfRule>
  </conditionalFormatting>
  <conditionalFormatting sqref="N5:N36">
    <cfRule type="cellIs" dxfId="8766" priority="107" operator="equal">
      <formula>"a"</formula>
    </cfRule>
    <cfRule type="cellIs" dxfId="8765" priority="108" operator="equal">
      <formula>"k"</formula>
    </cfRule>
    <cfRule type="cellIs" dxfId="8764" priority="109" operator="equal">
      <formula>"u"</formula>
    </cfRule>
    <cfRule type="cellIs" dxfId="8763" priority="110" operator="equal">
      <formula>"f"</formula>
    </cfRule>
    <cfRule type="cellIs" dxfId="8762" priority="111" operator="equal">
      <formula>9</formula>
    </cfRule>
    <cfRule type="cellIs" dxfId="8761" priority="112" operator="equal">
      <formula>8</formula>
    </cfRule>
    <cfRule type="cellIs" dxfId="8760" priority="113" operator="equal">
      <formula>5</formula>
    </cfRule>
    <cfRule type="cellIs" dxfId="8759" priority="114" operator="equal">
      <formula>3</formula>
    </cfRule>
    <cfRule type="cellIs" dxfId="8758" priority="115" operator="equal">
      <formula>6</formula>
    </cfRule>
    <cfRule type="cellIs" dxfId="8757" priority="116" operator="equal">
      <formula>4</formula>
    </cfRule>
    <cfRule type="cellIs" dxfId="8756" priority="117" operator="equal">
      <formula>2</formula>
    </cfRule>
    <cfRule type="cellIs" dxfId="8755" priority="118" operator="equal">
      <formula>7</formula>
    </cfRule>
    <cfRule type="cellIs" dxfId="8754" priority="119" operator="equal">
      <formula>1</formula>
    </cfRule>
  </conditionalFormatting>
  <conditionalFormatting sqref="Q5:Q36">
    <cfRule type="cellIs" dxfId="8753" priority="94" operator="equal">
      <formula>"a"</formula>
    </cfRule>
    <cfRule type="cellIs" dxfId="8752" priority="95" operator="equal">
      <formula>"k"</formula>
    </cfRule>
    <cfRule type="cellIs" dxfId="8751" priority="96" operator="equal">
      <formula>"u"</formula>
    </cfRule>
    <cfRule type="cellIs" dxfId="8750" priority="97" operator="equal">
      <formula>"f"</formula>
    </cfRule>
    <cfRule type="cellIs" dxfId="8749" priority="98" operator="equal">
      <formula>9</formula>
    </cfRule>
    <cfRule type="cellIs" dxfId="8748" priority="99" operator="equal">
      <formula>8</formula>
    </cfRule>
    <cfRule type="cellIs" dxfId="8747" priority="100" operator="equal">
      <formula>5</formula>
    </cfRule>
    <cfRule type="cellIs" dxfId="8746" priority="101" operator="equal">
      <formula>3</formula>
    </cfRule>
    <cfRule type="cellIs" dxfId="8745" priority="102" operator="equal">
      <formula>6</formula>
    </cfRule>
    <cfRule type="cellIs" dxfId="8744" priority="103" operator="equal">
      <formula>4</formula>
    </cfRule>
    <cfRule type="cellIs" dxfId="8743" priority="104" operator="equal">
      <formula>2</formula>
    </cfRule>
    <cfRule type="cellIs" dxfId="8742" priority="105" operator="equal">
      <formula>7</formula>
    </cfRule>
    <cfRule type="cellIs" dxfId="8741" priority="106" operator="equal">
      <formula>1</formula>
    </cfRule>
  </conditionalFormatting>
  <conditionalFormatting sqref="T5:T36">
    <cfRule type="cellIs" dxfId="8740" priority="81" operator="equal">
      <formula>"a"</formula>
    </cfRule>
    <cfRule type="cellIs" dxfId="8739" priority="82" operator="equal">
      <formula>"k"</formula>
    </cfRule>
    <cfRule type="cellIs" dxfId="8738" priority="83" operator="equal">
      <formula>"u"</formula>
    </cfRule>
    <cfRule type="cellIs" dxfId="8737" priority="84" operator="equal">
      <formula>"f"</formula>
    </cfRule>
    <cfRule type="cellIs" dxfId="8736" priority="85" operator="equal">
      <formula>9</formula>
    </cfRule>
    <cfRule type="cellIs" dxfId="8735" priority="86" operator="equal">
      <formula>8</formula>
    </cfRule>
    <cfRule type="cellIs" dxfId="8734" priority="87" operator="equal">
      <formula>5</formula>
    </cfRule>
    <cfRule type="cellIs" dxfId="8733" priority="88" operator="equal">
      <formula>3</formula>
    </cfRule>
    <cfRule type="cellIs" dxfId="8732" priority="89" operator="equal">
      <formula>6</formula>
    </cfRule>
    <cfRule type="cellIs" dxfId="8731" priority="90" operator="equal">
      <formula>4</formula>
    </cfRule>
    <cfRule type="cellIs" dxfId="8730" priority="91" operator="equal">
      <formula>2</formula>
    </cfRule>
    <cfRule type="cellIs" dxfId="8729" priority="92" operator="equal">
      <formula>7</formula>
    </cfRule>
    <cfRule type="cellIs" dxfId="8728" priority="93" operator="equal">
      <formula>1</formula>
    </cfRule>
  </conditionalFormatting>
  <conditionalFormatting sqref="F5:F36">
    <cfRule type="expression" dxfId="8727" priority="68">
      <formula>COUNTIF(E5,"a")</formula>
    </cfRule>
    <cfRule type="expression" dxfId="8726" priority="69">
      <formula>COUNTIF(E5,"9")</formula>
    </cfRule>
    <cfRule type="expression" dxfId="8725" priority="70">
      <formula>COUNTIF(E5,"k")</formula>
    </cfRule>
    <cfRule type="expression" dxfId="8724" priority="71">
      <formula>COUNTIF(E5,"u")</formula>
    </cfRule>
    <cfRule type="expression" dxfId="8723" priority="72">
      <formula>COUNTIF(E5,"f")</formula>
    </cfRule>
    <cfRule type="expression" dxfId="8722" priority="73">
      <formula>COUNTIF(E5,"8")</formula>
    </cfRule>
    <cfRule type="expression" dxfId="8721" priority="74">
      <formula>COUNTIF(E5,"7")</formula>
    </cfRule>
    <cfRule type="expression" dxfId="8720" priority="75">
      <formula>COUNTIF(E5,"3")</formula>
    </cfRule>
    <cfRule type="expression" dxfId="8719" priority="77">
      <formula>COUNTIF(E5,"5")</formula>
    </cfRule>
    <cfRule type="expression" dxfId="8718" priority="78">
      <formula>COUNTIF(E5,"2")</formula>
    </cfRule>
    <cfRule type="expression" dxfId="8717" priority="79">
      <formula>COUNTIF(E5,"4")</formula>
    </cfRule>
    <cfRule type="expression" dxfId="8716" priority="80">
      <formula>COUNTIF(E5,"1")</formula>
    </cfRule>
  </conditionalFormatting>
  <conditionalFormatting sqref="F5:F36">
    <cfRule type="expression" dxfId="8715" priority="76">
      <formula>COUNTIF(E5,"6")</formula>
    </cfRule>
  </conditionalFormatting>
  <conditionalFormatting sqref="I5:I36">
    <cfRule type="expression" dxfId="8714" priority="55">
      <formula>COUNTIF(H5,"a")</formula>
    </cfRule>
    <cfRule type="expression" dxfId="8713" priority="56">
      <formula>COUNTIF(H5,"9")</formula>
    </cfRule>
    <cfRule type="expression" dxfId="8712" priority="57">
      <formula>COUNTIF(H5,"k")</formula>
    </cfRule>
    <cfRule type="expression" dxfId="8711" priority="58">
      <formula>COUNTIF(H5,"u")</formula>
    </cfRule>
    <cfRule type="expression" dxfId="8710" priority="59">
      <formula>COUNTIF(H5,"f")</formula>
    </cfRule>
    <cfRule type="expression" dxfId="8709" priority="60">
      <formula>COUNTIF(H5,"8")</formula>
    </cfRule>
    <cfRule type="expression" dxfId="8708" priority="61">
      <formula>COUNTIF(H5,"7")</formula>
    </cfRule>
    <cfRule type="expression" dxfId="8707" priority="62">
      <formula>COUNTIF(H5,"3")</formula>
    </cfRule>
    <cfRule type="expression" dxfId="8706" priority="64">
      <formula>COUNTIF(H5,"5")</formula>
    </cfRule>
    <cfRule type="expression" dxfId="8705" priority="65">
      <formula>COUNTIF(H5,"2")</formula>
    </cfRule>
    <cfRule type="expression" dxfId="8704" priority="66">
      <formula>COUNTIF(H5,"4")</formula>
    </cfRule>
    <cfRule type="expression" dxfId="8703" priority="67">
      <formula>COUNTIF(H5,"1")</formula>
    </cfRule>
  </conditionalFormatting>
  <conditionalFormatting sqref="I5:I36">
    <cfRule type="expression" dxfId="8702" priority="63">
      <formula>COUNTIF(H5,"6")</formula>
    </cfRule>
  </conditionalFormatting>
  <conditionalFormatting sqref="L5:L36">
    <cfRule type="expression" dxfId="8701" priority="42">
      <formula>COUNTIF(K5,"a")</formula>
    </cfRule>
    <cfRule type="expression" dxfId="8700" priority="43">
      <formula>COUNTIF(K5,"9")</formula>
    </cfRule>
    <cfRule type="expression" dxfId="8699" priority="44">
      <formula>COUNTIF(K5,"k")</formula>
    </cfRule>
    <cfRule type="expression" dxfId="8698" priority="45">
      <formula>COUNTIF(K5,"u")</formula>
    </cfRule>
    <cfRule type="expression" dxfId="8697" priority="46">
      <formula>COUNTIF(K5,"f")</formula>
    </cfRule>
    <cfRule type="expression" dxfId="8696" priority="47">
      <formula>COUNTIF(K5,"8")</formula>
    </cfRule>
    <cfRule type="expression" dxfId="8695" priority="48">
      <formula>COUNTIF(K5,"7")</formula>
    </cfRule>
    <cfRule type="expression" dxfId="8694" priority="49">
      <formula>COUNTIF(K5,"3")</formula>
    </cfRule>
    <cfRule type="expression" dxfId="8693" priority="51">
      <formula>COUNTIF(K5,"5")</formula>
    </cfRule>
    <cfRule type="expression" dxfId="8692" priority="52">
      <formula>COUNTIF(K5,"2")</formula>
    </cfRule>
    <cfRule type="expression" dxfId="8691" priority="53">
      <formula>COUNTIF(K5,"4")</formula>
    </cfRule>
    <cfRule type="expression" dxfId="8690" priority="54">
      <formula>COUNTIF(K5,"1")</formula>
    </cfRule>
  </conditionalFormatting>
  <conditionalFormatting sqref="L5:L36">
    <cfRule type="expression" dxfId="8689" priority="50">
      <formula>COUNTIF(K5,"6")</formula>
    </cfRule>
  </conditionalFormatting>
  <conditionalFormatting sqref="O5:O36">
    <cfRule type="expression" dxfId="8688" priority="29">
      <formula>COUNTIF(N5,"a")</formula>
    </cfRule>
    <cfRule type="expression" dxfId="8687" priority="30">
      <formula>COUNTIF(N5,"9")</formula>
    </cfRule>
    <cfRule type="expression" dxfId="8686" priority="31">
      <formula>COUNTIF(N5,"k")</formula>
    </cfRule>
    <cfRule type="expression" dxfId="8685" priority="32">
      <formula>COUNTIF(N5,"u")</formula>
    </cfRule>
    <cfRule type="expression" dxfId="8684" priority="33">
      <formula>COUNTIF(N5,"f")</formula>
    </cfRule>
    <cfRule type="expression" dxfId="8683" priority="34">
      <formula>COUNTIF(N5,"8")</formula>
    </cfRule>
    <cfRule type="expression" dxfId="8682" priority="35">
      <formula>COUNTIF(N5,"7")</formula>
    </cfRule>
    <cfRule type="expression" dxfId="8681" priority="36">
      <formula>COUNTIF(N5,"3")</formula>
    </cfRule>
    <cfRule type="expression" dxfId="8680" priority="38">
      <formula>COUNTIF(N5,"5")</formula>
    </cfRule>
    <cfRule type="expression" dxfId="8679" priority="39">
      <formula>COUNTIF(N5,"2")</formula>
    </cfRule>
    <cfRule type="expression" dxfId="8678" priority="40">
      <formula>COUNTIF(N5,"4")</formula>
    </cfRule>
    <cfRule type="expression" dxfId="8677" priority="41">
      <formula>COUNTIF(N5,"1")</formula>
    </cfRule>
  </conditionalFormatting>
  <conditionalFormatting sqref="O5:O36">
    <cfRule type="expression" dxfId="8676" priority="37">
      <formula>COUNTIF(N5,"6")</formula>
    </cfRule>
  </conditionalFormatting>
  <conditionalFormatting sqref="R5:R36">
    <cfRule type="expression" dxfId="8675" priority="16">
      <formula>COUNTIF(Q5,"a")</formula>
    </cfRule>
    <cfRule type="expression" dxfId="8674" priority="17">
      <formula>COUNTIF(Q5,"9")</formula>
    </cfRule>
    <cfRule type="expression" dxfId="8673" priority="18">
      <formula>COUNTIF(Q5,"k")</formula>
    </cfRule>
    <cfRule type="expression" dxfId="8672" priority="19">
      <formula>COUNTIF(Q5,"u")</formula>
    </cfRule>
    <cfRule type="expression" dxfId="8671" priority="20">
      <formula>COUNTIF(Q5,"f")</formula>
    </cfRule>
    <cfRule type="expression" dxfId="8670" priority="21">
      <formula>COUNTIF(Q5,"8")</formula>
    </cfRule>
    <cfRule type="expression" dxfId="8669" priority="22">
      <formula>COUNTIF(Q5,"7")</formula>
    </cfRule>
    <cfRule type="expression" dxfId="8668" priority="23">
      <formula>COUNTIF(Q5,"3")</formula>
    </cfRule>
    <cfRule type="expression" dxfId="8667" priority="25">
      <formula>COUNTIF(Q5,"5")</formula>
    </cfRule>
    <cfRule type="expression" dxfId="8666" priority="26">
      <formula>COUNTIF(Q5,"2")</formula>
    </cfRule>
    <cfRule type="expression" dxfId="8665" priority="27">
      <formula>COUNTIF(Q5,"4")</formula>
    </cfRule>
    <cfRule type="expression" dxfId="8664" priority="28">
      <formula>COUNTIF(Q5,"1")</formula>
    </cfRule>
  </conditionalFormatting>
  <conditionalFormatting sqref="R5:R36">
    <cfRule type="expression" dxfId="8663" priority="24">
      <formula>COUNTIF(Q5,"6")</formula>
    </cfRule>
  </conditionalFormatting>
  <conditionalFormatting sqref="U5:U36">
    <cfRule type="expression" dxfId="8662" priority="3">
      <formula>COUNTIF(T5,"a")</formula>
    </cfRule>
    <cfRule type="expression" dxfId="8661" priority="4">
      <formula>COUNTIF(T5,"9")</formula>
    </cfRule>
    <cfRule type="expression" dxfId="8660" priority="5">
      <formula>COUNTIF(T5,"k")</formula>
    </cfRule>
    <cfRule type="expression" dxfId="8659" priority="6">
      <formula>COUNTIF(T5,"u")</formula>
    </cfRule>
    <cfRule type="expression" dxfId="8658" priority="7">
      <formula>COUNTIF(T5,"f")</formula>
    </cfRule>
    <cfRule type="expression" dxfId="8657" priority="8">
      <formula>COUNTIF(T5,"8")</formula>
    </cfRule>
    <cfRule type="expression" dxfId="8656" priority="9">
      <formula>COUNTIF(T5,"7")</formula>
    </cfRule>
    <cfRule type="expression" dxfId="8655" priority="10">
      <formula>COUNTIF(T5,"3")</formula>
    </cfRule>
    <cfRule type="expression" dxfId="8654" priority="12">
      <formula>COUNTIF(T5,"5")</formula>
    </cfRule>
    <cfRule type="expression" dxfId="8653" priority="13">
      <formula>COUNTIF(T5,"2")</formula>
    </cfRule>
    <cfRule type="expression" dxfId="8652" priority="14">
      <formula>COUNTIF(T5,"4")</formula>
    </cfRule>
    <cfRule type="expression" dxfId="8651" priority="15">
      <formula>COUNTIF(T5,"1")</formula>
    </cfRule>
  </conditionalFormatting>
  <conditionalFormatting sqref="U5:U36">
    <cfRule type="expression" dxfId="8650" priority="11">
      <formula>COUNTIF(T5,"6")</formula>
    </cfRule>
  </conditionalFormatting>
  <conditionalFormatting sqref="V32">
    <cfRule type="cellIs" dxfId="8649" priority="1" operator="lessThan">
      <formula>0</formula>
    </cfRule>
    <cfRule type="cellIs" dxfId="864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80ACE9BA-D315-4440-B5C1-A6A1B777C28C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B2CF4-DE5E-074E-9BB2-CA4C80301DB4}">
  <sheetPr codeName="Tabelle52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7</v>
      </c>
      <c r="Q1" s="176"/>
      <c r="R1" s="79">
        <f>DATE(V1,1,7*P1-3-WEEKDAY(DATE(V1,,),3))</f>
        <v>45334</v>
      </c>
      <c r="S1" s="80" t="s">
        <v>1</v>
      </c>
      <c r="T1" s="177">
        <f>DATE(V1,1,7*P1+3-WEEKDAY(DATE(V1,,),3))</f>
        <v>45340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45334</v>
      </c>
      <c r="B2" s="178"/>
      <c r="C2" s="178"/>
      <c r="D2" s="178">
        <f>A2+1</f>
        <v>45335</v>
      </c>
      <c r="E2" s="179"/>
      <c r="F2" s="179"/>
      <c r="G2" s="178">
        <f>D2+1</f>
        <v>45336</v>
      </c>
      <c r="H2" s="179"/>
      <c r="I2" s="179"/>
      <c r="J2" s="178">
        <f>G2+1</f>
        <v>45337</v>
      </c>
      <c r="K2" s="179"/>
      <c r="L2" s="179"/>
      <c r="M2" s="178">
        <f>J2+1</f>
        <v>45338</v>
      </c>
      <c r="N2" s="179"/>
      <c r="O2" s="179"/>
      <c r="P2" s="178">
        <f>M2+1</f>
        <v>45339</v>
      </c>
      <c r="Q2" s="179"/>
      <c r="R2" s="179"/>
      <c r="S2" s="178">
        <f>P2+1</f>
        <v>45340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45334</v>
      </c>
      <c r="B3" s="168"/>
      <c r="C3" s="168"/>
      <c r="D3" s="168">
        <f>A3+1</f>
        <v>45335</v>
      </c>
      <c r="E3" s="168"/>
      <c r="F3" s="168"/>
      <c r="G3" s="168">
        <f>D3+1</f>
        <v>45336</v>
      </c>
      <c r="H3" s="168"/>
      <c r="I3" s="168"/>
      <c r="J3" s="168">
        <f>G3+1</f>
        <v>45337</v>
      </c>
      <c r="K3" s="168"/>
      <c r="L3" s="168"/>
      <c r="M3" s="168">
        <f>J3+1</f>
        <v>45338</v>
      </c>
      <c r="N3" s="168"/>
      <c r="O3" s="168"/>
      <c r="P3" s="168">
        <f>M3+1</f>
        <v>45339</v>
      </c>
      <c r="Q3" s="168"/>
      <c r="R3" s="168"/>
      <c r="S3" s="168">
        <f>P3+1</f>
        <v>45340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45334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45335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45336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45337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45338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45339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45340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6'!V32</f>
        <v>-240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8647" priority="159">
      <formula>COUNTIF(B5,"a")</formula>
    </cfRule>
    <cfRule type="expression" dxfId="8646" priority="161">
      <formula>COUNTIF(B5,"9")</formula>
    </cfRule>
    <cfRule type="expression" dxfId="8645" priority="163">
      <formula>COUNTIF(B5,"k")</formula>
    </cfRule>
    <cfRule type="expression" dxfId="8644" priority="164">
      <formula>COUNTIF(B5,"u")</formula>
    </cfRule>
    <cfRule type="expression" dxfId="8643" priority="167">
      <formula>COUNTIF(B5,"f")</formula>
    </cfRule>
    <cfRule type="expression" dxfId="8642" priority="168">
      <formula>COUNTIF(B5,"8")</formula>
    </cfRule>
    <cfRule type="expression" dxfId="8641" priority="169">
      <formula>COUNTIF(B5,"7")</formula>
    </cfRule>
    <cfRule type="expression" dxfId="8640" priority="170">
      <formula>COUNTIF(B5,"3")</formula>
    </cfRule>
    <cfRule type="expression" dxfId="8639" priority="181">
      <formula>COUNTIF(B5,"5")</formula>
    </cfRule>
    <cfRule type="expression" dxfId="8638" priority="182">
      <formula>COUNTIF(B5,"2")</formula>
    </cfRule>
    <cfRule type="expression" dxfId="8637" priority="183">
      <formula>COUNTIF(B5,"4")</formula>
    </cfRule>
    <cfRule type="expression" dxfId="8636" priority="184">
      <formula>COUNTIF(B5,"1")</formula>
    </cfRule>
  </conditionalFormatting>
  <conditionalFormatting sqref="B5:B36">
    <cfRule type="cellIs" dxfId="8635" priority="160" operator="equal">
      <formula>"a"</formula>
    </cfRule>
    <cfRule type="cellIs" dxfId="8634" priority="162" operator="equal">
      <formula>"k"</formula>
    </cfRule>
    <cfRule type="cellIs" dxfId="8633" priority="165" operator="equal">
      <formula>"u"</formula>
    </cfRule>
    <cfRule type="cellIs" dxfId="8632" priority="166" operator="equal">
      <formula>"f"</formula>
    </cfRule>
    <cfRule type="cellIs" dxfId="8631" priority="171" operator="equal">
      <formula>9</formula>
    </cfRule>
    <cfRule type="cellIs" dxfId="8630" priority="172" operator="equal">
      <formula>8</formula>
    </cfRule>
    <cfRule type="cellIs" dxfId="8629" priority="173" operator="equal">
      <formula>5</formula>
    </cfRule>
    <cfRule type="cellIs" dxfId="8628" priority="174" operator="equal">
      <formula>3</formula>
    </cfRule>
    <cfRule type="cellIs" dxfId="8627" priority="176" operator="equal">
      <formula>6</formula>
    </cfRule>
    <cfRule type="cellIs" dxfId="8626" priority="177" operator="equal">
      <formula>4</formula>
    </cfRule>
    <cfRule type="cellIs" dxfId="8625" priority="178" operator="equal">
      <formula>2</formula>
    </cfRule>
    <cfRule type="cellIs" dxfId="8624" priority="179" operator="equal">
      <formula>7</formula>
    </cfRule>
    <cfRule type="cellIs" dxfId="8623" priority="180" operator="equal">
      <formula>1</formula>
    </cfRule>
  </conditionalFormatting>
  <conditionalFormatting sqref="C5:C36">
    <cfRule type="expression" dxfId="8622" priority="175">
      <formula>COUNTIF(B5,"6")</formula>
    </cfRule>
  </conditionalFormatting>
  <conditionalFormatting sqref="E5:E36">
    <cfRule type="cellIs" dxfId="8621" priority="146" operator="equal">
      <formula>"a"</formula>
    </cfRule>
    <cfRule type="cellIs" dxfId="8620" priority="147" operator="equal">
      <formula>"k"</formula>
    </cfRule>
    <cfRule type="cellIs" dxfId="8619" priority="148" operator="equal">
      <formula>"u"</formula>
    </cfRule>
    <cfRule type="cellIs" dxfId="8618" priority="149" operator="equal">
      <formula>"f"</formula>
    </cfRule>
    <cfRule type="cellIs" dxfId="8617" priority="150" operator="equal">
      <formula>9</formula>
    </cfRule>
    <cfRule type="cellIs" dxfId="8616" priority="151" operator="equal">
      <formula>8</formula>
    </cfRule>
    <cfRule type="cellIs" dxfId="8615" priority="152" operator="equal">
      <formula>5</formula>
    </cfRule>
    <cfRule type="cellIs" dxfId="8614" priority="153" operator="equal">
      <formula>3</formula>
    </cfRule>
    <cfRule type="cellIs" dxfId="8613" priority="154" operator="equal">
      <formula>6</formula>
    </cfRule>
    <cfRule type="cellIs" dxfId="8612" priority="155" operator="equal">
      <formula>4</formula>
    </cfRule>
    <cfRule type="cellIs" dxfId="8611" priority="156" operator="equal">
      <formula>2</formula>
    </cfRule>
    <cfRule type="cellIs" dxfId="8610" priority="157" operator="equal">
      <formula>7</formula>
    </cfRule>
    <cfRule type="cellIs" dxfId="8609" priority="158" operator="equal">
      <formula>1</formula>
    </cfRule>
  </conditionalFormatting>
  <conditionalFormatting sqref="H5:H36">
    <cfRule type="cellIs" dxfId="8608" priority="133" operator="equal">
      <formula>"a"</formula>
    </cfRule>
    <cfRule type="cellIs" dxfId="8607" priority="134" operator="equal">
      <formula>"k"</formula>
    </cfRule>
    <cfRule type="cellIs" dxfId="8606" priority="135" operator="equal">
      <formula>"u"</formula>
    </cfRule>
    <cfRule type="cellIs" dxfId="8605" priority="136" operator="equal">
      <formula>"f"</formula>
    </cfRule>
    <cfRule type="cellIs" dxfId="8604" priority="137" operator="equal">
      <formula>9</formula>
    </cfRule>
    <cfRule type="cellIs" dxfId="8603" priority="138" operator="equal">
      <formula>8</formula>
    </cfRule>
    <cfRule type="cellIs" dxfId="8602" priority="139" operator="equal">
      <formula>5</formula>
    </cfRule>
    <cfRule type="cellIs" dxfId="8601" priority="140" operator="equal">
      <formula>3</formula>
    </cfRule>
    <cfRule type="cellIs" dxfId="8600" priority="141" operator="equal">
      <formula>6</formula>
    </cfRule>
    <cfRule type="cellIs" dxfId="8599" priority="142" operator="equal">
      <formula>4</formula>
    </cfRule>
    <cfRule type="cellIs" dxfId="8598" priority="143" operator="equal">
      <formula>2</formula>
    </cfRule>
    <cfRule type="cellIs" dxfId="8597" priority="144" operator="equal">
      <formula>7</formula>
    </cfRule>
    <cfRule type="cellIs" dxfId="8596" priority="145" operator="equal">
      <formula>1</formula>
    </cfRule>
  </conditionalFormatting>
  <conditionalFormatting sqref="K5:K36">
    <cfRule type="cellIs" dxfId="8595" priority="120" operator="equal">
      <formula>"a"</formula>
    </cfRule>
    <cfRule type="cellIs" dxfId="8594" priority="121" operator="equal">
      <formula>"k"</formula>
    </cfRule>
    <cfRule type="cellIs" dxfId="8593" priority="122" operator="equal">
      <formula>"u"</formula>
    </cfRule>
    <cfRule type="cellIs" dxfId="8592" priority="123" operator="equal">
      <formula>"f"</formula>
    </cfRule>
    <cfRule type="cellIs" dxfId="8591" priority="124" operator="equal">
      <formula>9</formula>
    </cfRule>
    <cfRule type="cellIs" dxfId="8590" priority="125" operator="equal">
      <formula>8</formula>
    </cfRule>
    <cfRule type="cellIs" dxfId="8589" priority="126" operator="equal">
      <formula>5</formula>
    </cfRule>
    <cfRule type="cellIs" dxfId="8588" priority="127" operator="equal">
      <formula>3</formula>
    </cfRule>
    <cfRule type="cellIs" dxfId="8587" priority="128" operator="equal">
      <formula>6</formula>
    </cfRule>
    <cfRule type="cellIs" dxfId="8586" priority="129" operator="equal">
      <formula>4</formula>
    </cfRule>
    <cfRule type="cellIs" dxfId="8585" priority="130" operator="equal">
      <formula>2</formula>
    </cfRule>
    <cfRule type="cellIs" dxfId="8584" priority="131" operator="equal">
      <formula>7</formula>
    </cfRule>
    <cfRule type="cellIs" dxfId="8583" priority="132" operator="equal">
      <formula>1</formula>
    </cfRule>
  </conditionalFormatting>
  <conditionalFormatting sqref="N5:N36">
    <cfRule type="cellIs" dxfId="8582" priority="107" operator="equal">
      <formula>"a"</formula>
    </cfRule>
    <cfRule type="cellIs" dxfId="8581" priority="108" operator="equal">
      <formula>"k"</formula>
    </cfRule>
    <cfRule type="cellIs" dxfId="8580" priority="109" operator="equal">
      <formula>"u"</formula>
    </cfRule>
    <cfRule type="cellIs" dxfId="8579" priority="110" operator="equal">
      <formula>"f"</formula>
    </cfRule>
    <cfRule type="cellIs" dxfId="8578" priority="111" operator="equal">
      <formula>9</formula>
    </cfRule>
    <cfRule type="cellIs" dxfId="8577" priority="112" operator="equal">
      <formula>8</formula>
    </cfRule>
    <cfRule type="cellIs" dxfId="8576" priority="113" operator="equal">
      <formula>5</formula>
    </cfRule>
    <cfRule type="cellIs" dxfId="8575" priority="114" operator="equal">
      <formula>3</formula>
    </cfRule>
    <cfRule type="cellIs" dxfId="8574" priority="115" operator="equal">
      <formula>6</formula>
    </cfRule>
    <cfRule type="cellIs" dxfId="8573" priority="116" operator="equal">
      <formula>4</formula>
    </cfRule>
    <cfRule type="cellIs" dxfId="8572" priority="117" operator="equal">
      <formula>2</formula>
    </cfRule>
    <cfRule type="cellIs" dxfId="8571" priority="118" operator="equal">
      <formula>7</formula>
    </cfRule>
    <cfRule type="cellIs" dxfId="8570" priority="119" operator="equal">
      <formula>1</formula>
    </cfRule>
  </conditionalFormatting>
  <conditionalFormatting sqref="Q5:Q36">
    <cfRule type="cellIs" dxfId="8569" priority="94" operator="equal">
      <formula>"a"</formula>
    </cfRule>
    <cfRule type="cellIs" dxfId="8568" priority="95" operator="equal">
      <formula>"k"</formula>
    </cfRule>
    <cfRule type="cellIs" dxfId="8567" priority="96" operator="equal">
      <formula>"u"</formula>
    </cfRule>
    <cfRule type="cellIs" dxfId="8566" priority="97" operator="equal">
      <formula>"f"</formula>
    </cfRule>
    <cfRule type="cellIs" dxfId="8565" priority="98" operator="equal">
      <formula>9</formula>
    </cfRule>
    <cfRule type="cellIs" dxfId="8564" priority="99" operator="equal">
      <formula>8</formula>
    </cfRule>
    <cfRule type="cellIs" dxfId="8563" priority="100" operator="equal">
      <formula>5</formula>
    </cfRule>
    <cfRule type="cellIs" dxfId="8562" priority="101" operator="equal">
      <formula>3</formula>
    </cfRule>
    <cfRule type="cellIs" dxfId="8561" priority="102" operator="equal">
      <formula>6</formula>
    </cfRule>
    <cfRule type="cellIs" dxfId="8560" priority="103" operator="equal">
      <formula>4</formula>
    </cfRule>
    <cfRule type="cellIs" dxfId="8559" priority="104" operator="equal">
      <formula>2</formula>
    </cfRule>
    <cfRule type="cellIs" dxfId="8558" priority="105" operator="equal">
      <formula>7</formula>
    </cfRule>
    <cfRule type="cellIs" dxfId="8557" priority="106" operator="equal">
      <formula>1</formula>
    </cfRule>
  </conditionalFormatting>
  <conditionalFormatting sqref="T5:T36">
    <cfRule type="cellIs" dxfId="8556" priority="81" operator="equal">
      <formula>"a"</formula>
    </cfRule>
    <cfRule type="cellIs" dxfId="8555" priority="82" operator="equal">
      <formula>"k"</formula>
    </cfRule>
    <cfRule type="cellIs" dxfId="8554" priority="83" operator="equal">
      <formula>"u"</formula>
    </cfRule>
    <cfRule type="cellIs" dxfId="8553" priority="84" operator="equal">
      <formula>"f"</formula>
    </cfRule>
    <cfRule type="cellIs" dxfId="8552" priority="85" operator="equal">
      <formula>9</formula>
    </cfRule>
    <cfRule type="cellIs" dxfId="8551" priority="86" operator="equal">
      <formula>8</formula>
    </cfRule>
    <cfRule type="cellIs" dxfId="8550" priority="87" operator="equal">
      <formula>5</formula>
    </cfRule>
    <cfRule type="cellIs" dxfId="8549" priority="88" operator="equal">
      <formula>3</formula>
    </cfRule>
    <cfRule type="cellIs" dxfId="8548" priority="89" operator="equal">
      <formula>6</formula>
    </cfRule>
    <cfRule type="cellIs" dxfId="8547" priority="90" operator="equal">
      <formula>4</formula>
    </cfRule>
    <cfRule type="cellIs" dxfId="8546" priority="91" operator="equal">
      <formula>2</formula>
    </cfRule>
    <cfRule type="cellIs" dxfId="8545" priority="92" operator="equal">
      <formula>7</formula>
    </cfRule>
    <cfRule type="cellIs" dxfId="8544" priority="93" operator="equal">
      <formula>1</formula>
    </cfRule>
  </conditionalFormatting>
  <conditionalFormatting sqref="F5:F36">
    <cfRule type="expression" dxfId="8543" priority="68">
      <formula>COUNTIF(E5,"a")</formula>
    </cfRule>
    <cfRule type="expression" dxfId="8542" priority="69">
      <formula>COUNTIF(E5,"9")</formula>
    </cfRule>
    <cfRule type="expression" dxfId="8541" priority="70">
      <formula>COUNTIF(E5,"k")</formula>
    </cfRule>
    <cfRule type="expression" dxfId="8540" priority="71">
      <formula>COUNTIF(E5,"u")</formula>
    </cfRule>
    <cfRule type="expression" dxfId="8539" priority="72">
      <formula>COUNTIF(E5,"f")</formula>
    </cfRule>
    <cfRule type="expression" dxfId="8538" priority="73">
      <formula>COUNTIF(E5,"8")</formula>
    </cfRule>
    <cfRule type="expression" dxfId="8537" priority="74">
      <formula>COUNTIF(E5,"7")</formula>
    </cfRule>
    <cfRule type="expression" dxfId="8536" priority="75">
      <formula>COUNTIF(E5,"3")</formula>
    </cfRule>
    <cfRule type="expression" dxfId="8535" priority="77">
      <formula>COUNTIF(E5,"5")</formula>
    </cfRule>
    <cfRule type="expression" dxfId="8534" priority="78">
      <formula>COUNTIF(E5,"2")</formula>
    </cfRule>
    <cfRule type="expression" dxfId="8533" priority="79">
      <formula>COUNTIF(E5,"4")</formula>
    </cfRule>
    <cfRule type="expression" dxfId="8532" priority="80">
      <formula>COUNTIF(E5,"1")</formula>
    </cfRule>
  </conditionalFormatting>
  <conditionalFormatting sqref="F5:F36">
    <cfRule type="expression" dxfId="8531" priority="76">
      <formula>COUNTIF(E5,"6")</formula>
    </cfRule>
  </conditionalFormatting>
  <conditionalFormatting sqref="I5:I36">
    <cfRule type="expression" dxfId="8530" priority="55">
      <formula>COUNTIF(H5,"a")</formula>
    </cfRule>
    <cfRule type="expression" dxfId="8529" priority="56">
      <formula>COUNTIF(H5,"9")</formula>
    </cfRule>
    <cfRule type="expression" dxfId="8528" priority="57">
      <formula>COUNTIF(H5,"k")</formula>
    </cfRule>
    <cfRule type="expression" dxfId="8527" priority="58">
      <formula>COUNTIF(H5,"u")</formula>
    </cfRule>
    <cfRule type="expression" dxfId="8526" priority="59">
      <formula>COUNTIF(H5,"f")</formula>
    </cfRule>
    <cfRule type="expression" dxfId="8525" priority="60">
      <formula>COUNTIF(H5,"8")</formula>
    </cfRule>
    <cfRule type="expression" dxfId="8524" priority="61">
      <formula>COUNTIF(H5,"7")</formula>
    </cfRule>
    <cfRule type="expression" dxfId="8523" priority="62">
      <formula>COUNTIF(H5,"3")</formula>
    </cfRule>
    <cfRule type="expression" dxfId="8522" priority="64">
      <formula>COUNTIF(H5,"5")</formula>
    </cfRule>
    <cfRule type="expression" dxfId="8521" priority="65">
      <formula>COUNTIF(H5,"2")</formula>
    </cfRule>
    <cfRule type="expression" dxfId="8520" priority="66">
      <formula>COUNTIF(H5,"4")</formula>
    </cfRule>
    <cfRule type="expression" dxfId="8519" priority="67">
      <formula>COUNTIF(H5,"1")</formula>
    </cfRule>
  </conditionalFormatting>
  <conditionalFormatting sqref="I5:I36">
    <cfRule type="expression" dxfId="8518" priority="63">
      <formula>COUNTIF(H5,"6")</formula>
    </cfRule>
  </conditionalFormatting>
  <conditionalFormatting sqref="L5:L36">
    <cfRule type="expression" dxfId="8517" priority="42">
      <formula>COUNTIF(K5,"a")</formula>
    </cfRule>
    <cfRule type="expression" dxfId="8516" priority="43">
      <formula>COUNTIF(K5,"9")</formula>
    </cfRule>
    <cfRule type="expression" dxfId="8515" priority="44">
      <formula>COUNTIF(K5,"k")</formula>
    </cfRule>
    <cfRule type="expression" dxfId="8514" priority="45">
      <formula>COUNTIF(K5,"u")</formula>
    </cfRule>
    <cfRule type="expression" dxfId="8513" priority="46">
      <formula>COUNTIF(K5,"f")</formula>
    </cfRule>
    <cfRule type="expression" dxfId="8512" priority="47">
      <formula>COUNTIF(K5,"8")</formula>
    </cfRule>
    <cfRule type="expression" dxfId="8511" priority="48">
      <formula>COUNTIF(K5,"7")</formula>
    </cfRule>
    <cfRule type="expression" dxfId="8510" priority="49">
      <formula>COUNTIF(K5,"3")</formula>
    </cfRule>
    <cfRule type="expression" dxfId="8509" priority="51">
      <formula>COUNTIF(K5,"5")</formula>
    </cfRule>
    <cfRule type="expression" dxfId="8508" priority="52">
      <formula>COUNTIF(K5,"2")</formula>
    </cfRule>
    <cfRule type="expression" dxfId="8507" priority="53">
      <formula>COUNTIF(K5,"4")</formula>
    </cfRule>
    <cfRule type="expression" dxfId="8506" priority="54">
      <formula>COUNTIF(K5,"1")</formula>
    </cfRule>
  </conditionalFormatting>
  <conditionalFormatting sqref="L5:L36">
    <cfRule type="expression" dxfId="8505" priority="50">
      <formula>COUNTIF(K5,"6")</formula>
    </cfRule>
  </conditionalFormatting>
  <conditionalFormatting sqref="O5:O36">
    <cfRule type="expression" dxfId="8504" priority="29">
      <formula>COUNTIF(N5,"a")</formula>
    </cfRule>
    <cfRule type="expression" dxfId="8503" priority="30">
      <formula>COUNTIF(N5,"9")</formula>
    </cfRule>
    <cfRule type="expression" dxfId="8502" priority="31">
      <formula>COUNTIF(N5,"k")</formula>
    </cfRule>
    <cfRule type="expression" dxfId="8501" priority="32">
      <formula>COUNTIF(N5,"u")</formula>
    </cfRule>
    <cfRule type="expression" dxfId="8500" priority="33">
      <formula>COUNTIF(N5,"f")</formula>
    </cfRule>
    <cfRule type="expression" dxfId="8499" priority="34">
      <formula>COUNTIF(N5,"8")</formula>
    </cfRule>
    <cfRule type="expression" dxfId="8498" priority="35">
      <formula>COUNTIF(N5,"7")</formula>
    </cfRule>
    <cfRule type="expression" dxfId="8497" priority="36">
      <formula>COUNTIF(N5,"3")</formula>
    </cfRule>
    <cfRule type="expression" dxfId="8496" priority="38">
      <formula>COUNTIF(N5,"5")</formula>
    </cfRule>
    <cfRule type="expression" dxfId="8495" priority="39">
      <formula>COUNTIF(N5,"2")</formula>
    </cfRule>
    <cfRule type="expression" dxfId="8494" priority="40">
      <formula>COUNTIF(N5,"4")</formula>
    </cfRule>
    <cfRule type="expression" dxfId="8493" priority="41">
      <formula>COUNTIF(N5,"1")</formula>
    </cfRule>
  </conditionalFormatting>
  <conditionalFormatting sqref="O5:O36">
    <cfRule type="expression" dxfId="8492" priority="37">
      <formula>COUNTIF(N5,"6")</formula>
    </cfRule>
  </conditionalFormatting>
  <conditionalFormatting sqref="R5:R36">
    <cfRule type="expression" dxfId="8491" priority="16">
      <formula>COUNTIF(Q5,"a")</formula>
    </cfRule>
    <cfRule type="expression" dxfId="8490" priority="17">
      <formula>COUNTIF(Q5,"9")</formula>
    </cfRule>
    <cfRule type="expression" dxfId="8489" priority="18">
      <formula>COUNTIF(Q5,"k")</formula>
    </cfRule>
    <cfRule type="expression" dxfId="8488" priority="19">
      <formula>COUNTIF(Q5,"u")</formula>
    </cfRule>
    <cfRule type="expression" dxfId="8487" priority="20">
      <formula>COUNTIF(Q5,"f")</formula>
    </cfRule>
    <cfRule type="expression" dxfId="8486" priority="21">
      <formula>COUNTIF(Q5,"8")</formula>
    </cfRule>
    <cfRule type="expression" dxfId="8485" priority="22">
      <formula>COUNTIF(Q5,"7")</formula>
    </cfRule>
    <cfRule type="expression" dxfId="8484" priority="23">
      <formula>COUNTIF(Q5,"3")</formula>
    </cfRule>
    <cfRule type="expression" dxfId="8483" priority="25">
      <formula>COUNTIF(Q5,"5")</formula>
    </cfRule>
    <cfRule type="expression" dxfId="8482" priority="26">
      <formula>COUNTIF(Q5,"2")</formula>
    </cfRule>
    <cfRule type="expression" dxfId="8481" priority="27">
      <formula>COUNTIF(Q5,"4")</formula>
    </cfRule>
    <cfRule type="expression" dxfId="8480" priority="28">
      <formula>COUNTIF(Q5,"1")</formula>
    </cfRule>
  </conditionalFormatting>
  <conditionalFormatting sqref="R5:R36">
    <cfRule type="expression" dxfId="8479" priority="24">
      <formula>COUNTIF(Q5,"6")</formula>
    </cfRule>
  </conditionalFormatting>
  <conditionalFormatting sqref="U5:U36">
    <cfRule type="expression" dxfId="8478" priority="3">
      <formula>COUNTIF(T5,"a")</formula>
    </cfRule>
    <cfRule type="expression" dxfId="8477" priority="4">
      <formula>COUNTIF(T5,"9")</formula>
    </cfRule>
    <cfRule type="expression" dxfId="8476" priority="5">
      <formula>COUNTIF(T5,"k")</formula>
    </cfRule>
    <cfRule type="expression" dxfId="8475" priority="6">
      <formula>COUNTIF(T5,"u")</formula>
    </cfRule>
    <cfRule type="expression" dxfId="8474" priority="7">
      <formula>COUNTIF(T5,"f")</formula>
    </cfRule>
    <cfRule type="expression" dxfId="8473" priority="8">
      <formula>COUNTIF(T5,"8")</formula>
    </cfRule>
    <cfRule type="expression" dxfId="8472" priority="9">
      <formula>COUNTIF(T5,"7")</formula>
    </cfRule>
    <cfRule type="expression" dxfId="8471" priority="10">
      <formula>COUNTIF(T5,"3")</formula>
    </cfRule>
    <cfRule type="expression" dxfId="8470" priority="12">
      <formula>COUNTIF(T5,"5")</formula>
    </cfRule>
    <cfRule type="expression" dxfId="8469" priority="13">
      <formula>COUNTIF(T5,"2")</formula>
    </cfRule>
    <cfRule type="expression" dxfId="8468" priority="14">
      <formula>COUNTIF(T5,"4")</formula>
    </cfRule>
    <cfRule type="expression" dxfId="8467" priority="15">
      <formula>COUNTIF(T5,"1")</formula>
    </cfRule>
  </conditionalFormatting>
  <conditionalFormatting sqref="U5:U36">
    <cfRule type="expression" dxfId="8466" priority="11">
      <formula>COUNTIF(T5,"6")</formula>
    </cfRule>
  </conditionalFormatting>
  <conditionalFormatting sqref="V32">
    <cfRule type="cellIs" dxfId="8465" priority="1" operator="lessThan">
      <formula>0</formula>
    </cfRule>
    <cfRule type="cellIs" dxfId="846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3C9ED71-A8C6-864E-8B5B-FDA24A3A5EBD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BB9BC-3EB6-014F-96AC-AE09FE56B68D}">
  <sheetPr codeName="Tabelle53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8</v>
      </c>
      <c r="Q1" s="176"/>
      <c r="R1" s="79">
        <f>DATE(V1,1,7*P1-3-WEEKDAY(DATE(V1,,),3))</f>
        <v>45341</v>
      </c>
      <c r="S1" s="80" t="s">
        <v>1</v>
      </c>
      <c r="T1" s="177">
        <f>DATE(V1,1,7*P1+3-WEEKDAY(DATE(V1,,),3))</f>
        <v>45347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45341</v>
      </c>
      <c r="B2" s="178"/>
      <c r="C2" s="178"/>
      <c r="D2" s="178">
        <f>A2+1</f>
        <v>45342</v>
      </c>
      <c r="E2" s="179"/>
      <c r="F2" s="179"/>
      <c r="G2" s="178">
        <f>D2+1</f>
        <v>45343</v>
      </c>
      <c r="H2" s="179"/>
      <c r="I2" s="179"/>
      <c r="J2" s="178">
        <f>G2+1</f>
        <v>45344</v>
      </c>
      <c r="K2" s="179"/>
      <c r="L2" s="179"/>
      <c r="M2" s="178">
        <f>J2+1</f>
        <v>45345</v>
      </c>
      <c r="N2" s="179"/>
      <c r="O2" s="179"/>
      <c r="P2" s="178">
        <f>M2+1</f>
        <v>45346</v>
      </c>
      <c r="Q2" s="179"/>
      <c r="R2" s="179"/>
      <c r="S2" s="178">
        <f>P2+1</f>
        <v>45347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45341</v>
      </c>
      <c r="B3" s="168"/>
      <c r="C3" s="168"/>
      <c r="D3" s="168">
        <f>A3+1</f>
        <v>45342</v>
      </c>
      <c r="E3" s="168"/>
      <c r="F3" s="168"/>
      <c r="G3" s="168">
        <f>D3+1</f>
        <v>45343</v>
      </c>
      <c r="H3" s="168"/>
      <c r="I3" s="168"/>
      <c r="J3" s="168">
        <f>G3+1</f>
        <v>45344</v>
      </c>
      <c r="K3" s="168"/>
      <c r="L3" s="168"/>
      <c r="M3" s="168">
        <f>J3+1</f>
        <v>45345</v>
      </c>
      <c r="N3" s="168"/>
      <c r="O3" s="168"/>
      <c r="P3" s="168">
        <f>M3+1</f>
        <v>45346</v>
      </c>
      <c r="Q3" s="168"/>
      <c r="R3" s="168"/>
      <c r="S3" s="168">
        <f>P3+1</f>
        <v>45347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45341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45342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45343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45344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45345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45346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45347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7'!V32</f>
        <v>-280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-320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8463" priority="159">
      <formula>COUNTIF(B5,"a")</formula>
    </cfRule>
    <cfRule type="expression" dxfId="8462" priority="161">
      <formula>COUNTIF(B5,"9")</formula>
    </cfRule>
    <cfRule type="expression" dxfId="8461" priority="163">
      <formula>COUNTIF(B5,"k")</formula>
    </cfRule>
    <cfRule type="expression" dxfId="8460" priority="164">
      <formula>COUNTIF(B5,"u")</formula>
    </cfRule>
    <cfRule type="expression" dxfId="8459" priority="167">
      <formula>COUNTIF(B5,"f")</formula>
    </cfRule>
    <cfRule type="expression" dxfId="8458" priority="168">
      <formula>COUNTIF(B5,"8")</formula>
    </cfRule>
    <cfRule type="expression" dxfId="8457" priority="169">
      <formula>COUNTIF(B5,"7")</formula>
    </cfRule>
    <cfRule type="expression" dxfId="8456" priority="170">
      <formula>COUNTIF(B5,"3")</formula>
    </cfRule>
    <cfRule type="expression" dxfId="8455" priority="181">
      <formula>COUNTIF(B5,"5")</formula>
    </cfRule>
    <cfRule type="expression" dxfId="8454" priority="182">
      <formula>COUNTIF(B5,"2")</formula>
    </cfRule>
    <cfRule type="expression" dxfId="8453" priority="183">
      <formula>COUNTIF(B5,"4")</formula>
    </cfRule>
    <cfRule type="expression" dxfId="8452" priority="184">
      <formula>COUNTIF(B5,"1")</formula>
    </cfRule>
  </conditionalFormatting>
  <conditionalFormatting sqref="B5:B36">
    <cfRule type="cellIs" dxfId="8451" priority="160" operator="equal">
      <formula>"a"</formula>
    </cfRule>
    <cfRule type="cellIs" dxfId="8450" priority="162" operator="equal">
      <formula>"k"</formula>
    </cfRule>
    <cfRule type="cellIs" dxfId="8449" priority="165" operator="equal">
      <formula>"u"</formula>
    </cfRule>
    <cfRule type="cellIs" dxfId="8448" priority="166" operator="equal">
      <formula>"f"</formula>
    </cfRule>
    <cfRule type="cellIs" dxfId="8447" priority="171" operator="equal">
      <formula>9</formula>
    </cfRule>
    <cfRule type="cellIs" dxfId="8446" priority="172" operator="equal">
      <formula>8</formula>
    </cfRule>
    <cfRule type="cellIs" dxfId="8445" priority="173" operator="equal">
      <formula>5</formula>
    </cfRule>
    <cfRule type="cellIs" dxfId="8444" priority="174" operator="equal">
      <formula>3</formula>
    </cfRule>
    <cfRule type="cellIs" dxfId="8443" priority="176" operator="equal">
      <formula>6</formula>
    </cfRule>
    <cfRule type="cellIs" dxfId="8442" priority="177" operator="equal">
      <formula>4</formula>
    </cfRule>
    <cfRule type="cellIs" dxfId="8441" priority="178" operator="equal">
      <formula>2</formula>
    </cfRule>
    <cfRule type="cellIs" dxfId="8440" priority="179" operator="equal">
      <formula>7</formula>
    </cfRule>
    <cfRule type="cellIs" dxfId="8439" priority="180" operator="equal">
      <formula>1</formula>
    </cfRule>
  </conditionalFormatting>
  <conditionalFormatting sqref="C5:C36">
    <cfRule type="expression" dxfId="8438" priority="175">
      <formula>COUNTIF(B5,"6")</formula>
    </cfRule>
  </conditionalFormatting>
  <conditionalFormatting sqref="E5:E36">
    <cfRule type="cellIs" dxfId="8437" priority="146" operator="equal">
      <formula>"a"</formula>
    </cfRule>
    <cfRule type="cellIs" dxfId="8436" priority="147" operator="equal">
      <formula>"k"</formula>
    </cfRule>
    <cfRule type="cellIs" dxfId="8435" priority="148" operator="equal">
      <formula>"u"</formula>
    </cfRule>
    <cfRule type="cellIs" dxfId="8434" priority="149" operator="equal">
      <formula>"f"</formula>
    </cfRule>
    <cfRule type="cellIs" dxfId="8433" priority="150" operator="equal">
      <formula>9</formula>
    </cfRule>
    <cfRule type="cellIs" dxfId="8432" priority="151" operator="equal">
      <formula>8</formula>
    </cfRule>
    <cfRule type="cellIs" dxfId="8431" priority="152" operator="equal">
      <formula>5</formula>
    </cfRule>
    <cfRule type="cellIs" dxfId="8430" priority="153" operator="equal">
      <formula>3</formula>
    </cfRule>
    <cfRule type="cellIs" dxfId="8429" priority="154" operator="equal">
      <formula>6</formula>
    </cfRule>
    <cfRule type="cellIs" dxfId="8428" priority="155" operator="equal">
      <formula>4</formula>
    </cfRule>
    <cfRule type="cellIs" dxfId="8427" priority="156" operator="equal">
      <formula>2</formula>
    </cfRule>
    <cfRule type="cellIs" dxfId="8426" priority="157" operator="equal">
      <formula>7</formula>
    </cfRule>
    <cfRule type="cellIs" dxfId="8425" priority="158" operator="equal">
      <formula>1</formula>
    </cfRule>
  </conditionalFormatting>
  <conditionalFormatting sqref="H5:H36">
    <cfRule type="cellIs" dxfId="8424" priority="133" operator="equal">
      <formula>"a"</formula>
    </cfRule>
    <cfRule type="cellIs" dxfId="8423" priority="134" operator="equal">
      <formula>"k"</formula>
    </cfRule>
    <cfRule type="cellIs" dxfId="8422" priority="135" operator="equal">
      <formula>"u"</formula>
    </cfRule>
    <cfRule type="cellIs" dxfId="8421" priority="136" operator="equal">
      <formula>"f"</formula>
    </cfRule>
    <cfRule type="cellIs" dxfId="8420" priority="137" operator="equal">
      <formula>9</formula>
    </cfRule>
    <cfRule type="cellIs" dxfId="8419" priority="138" operator="equal">
      <formula>8</formula>
    </cfRule>
    <cfRule type="cellIs" dxfId="8418" priority="139" operator="equal">
      <formula>5</formula>
    </cfRule>
    <cfRule type="cellIs" dxfId="8417" priority="140" operator="equal">
      <formula>3</formula>
    </cfRule>
    <cfRule type="cellIs" dxfId="8416" priority="141" operator="equal">
      <formula>6</formula>
    </cfRule>
    <cfRule type="cellIs" dxfId="8415" priority="142" operator="equal">
      <formula>4</formula>
    </cfRule>
    <cfRule type="cellIs" dxfId="8414" priority="143" operator="equal">
      <formula>2</formula>
    </cfRule>
    <cfRule type="cellIs" dxfId="8413" priority="144" operator="equal">
      <formula>7</formula>
    </cfRule>
    <cfRule type="cellIs" dxfId="8412" priority="145" operator="equal">
      <formula>1</formula>
    </cfRule>
  </conditionalFormatting>
  <conditionalFormatting sqref="K5:K36">
    <cfRule type="cellIs" dxfId="8411" priority="120" operator="equal">
      <formula>"a"</formula>
    </cfRule>
    <cfRule type="cellIs" dxfId="8410" priority="121" operator="equal">
      <formula>"k"</formula>
    </cfRule>
    <cfRule type="cellIs" dxfId="8409" priority="122" operator="equal">
      <formula>"u"</formula>
    </cfRule>
    <cfRule type="cellIs" dxfId="8408" priority="123" operator="equal">
      <formula>"f"</formula>
    </cfRule>
    <cfRule type="cellIs" dxfId="8407" priority="124" operator="equal">
      <formula>9</formula>
    </cfRule>
    <cfRule type="cellIs" dxfId="8406" priority="125" operator="equal">
      <formula>8</formula>
    </cfRule>
    <cfRule type="cellIs" dxfId="8405" priority="126" operator="equal">
      <formula>5</formula>
    </cfRule>
    <cfRule type="cellIs" dxfId="8404" priority="127" operator="equal">
      <formula>3</formula>
    </cfRule>
    <cfRule type="cellIs" dxfId="8403" priority="128" operator="equal">
      <formula>6</formula>
    </cfRule>
    <cfRule type="cellIs" dxfId="8402" priority="129" operator="equal">
      <formula>4</formula>
    </cfRule>
    <cfRule type="cellIs" dxfId="8401" priority="130" operator="equal">
      <formula>2</formula>
    </cfRule>
    <cfRule type="cellIs" dxfId="8400" priority="131" operator="equal">
      <formula>7</formula>
    </cfRule>
    <cfRule type="cellIs" dxfId="8399" priority="132" operator="equal">
      <formula>1</formula>
    </cfRule>
  </conditionalFormatting>
  <conditionalFormatting sqref="N5:N36">
    <cfRule type="cellIs" dxfId="8398" priority="107" operator="equal">
      <formula>"a"</formula>
    </cfRule>
    <cfRule type="cellIs" dxfId="8397" priority="108" operator="equal">
      <formula>"k"</formula>
    </cfRule>
    <cfRule type="cellIs" dxfId="8396" priority="109" operator="equal">
      <formula>"u"</formula>
    </cfRule>
    <cfRule type="cellIs" dxfId="8395" priority="110" operator="equal">
      <formula>"f"</formula>
    </cfRule>
    <cfRule type="cellIs" dxfId="8394" priority="111" operator="equal">
      <formula>9</formula>
    </cfRule>
    <cfRule type="cellIs" dxfId="8393" priority="112" operator="equal">
      <formula>8</formula>
    </cfRule>
    <cfRule type="cellIs" dxfId="8392" priority="113" operator="equal">
      <formula>5</formula>
    </cfRule>
    <cfRule type="cellIs" dxfId="8391" priority="114" operator="equal">
      <formula>3</formula>
    </cfRule>
    <cfRule type="cellIs" dxfId="8390" priority="115" operator="equal">
      <formula>6</formula>
    </cfRule>
    <cfRule type="cellIs" dxfId="8389" priority="116" operator="equal">
      <formula>4</formula>
    </cfRule>
    <cfRule type="cellIs" dxfId="8388" priority="117" operator="equal">
      <formula>2</formula>
    </cfRule>
    <cfRule type="cellIs" dxfId="8387" priority="118" operator="equal">
      <formula>7</formula>
    </cfRule>
    <cfRule type="cellIs" dxfId="8386" priority="119" operator="equal">
      <formula>1</formula>
    </cfRule>
  </conditionalFormatting>
  <conditionalFormatting sqref="Q5:Q36">
    <cfRule type="cellIs" dxfId="8385" priority="94" operator="equal">
      <formula>"a"</formula>
    </cfRule>
    <cfRule type="cellIs" dxfId="8384" priority="95" operator="equal">
      <formula>"k"</formula>
    </cfRule>
    <cfRule type="cellIs" dxfId="8383" priority="96" operator="equal">
      <formula>"u"</formula>
    </cfRule>
    <cfRule type="cellIs" dxfId="8382" priority="97" operator="equal">
      <formula>"f"</formula>
    </cfRule>
    <cfRule type="cellIs" dxfId="8381" priority="98" operator="equal">
      <formula>9</formula>
    </cfRule>
    <cfRule type="cellIs" dxfId="8380" priority="99" operator="equal">
      <formula>8</formula>
    </cfRule>
    <cfRule type="cellIs" dxfId="8379" priority="100" operator="equal">
      <formula>5</formula>
    </cfRule>
    <cfRule type="cellIs" dxfId="8378" priority="101" operator="equal">
      <formula>3</formula>
    </cfRule>
    <cfRule type="cellIs" dxfId="8377" priority="102" operator="equal">
      <formula>6</formula>
    </cfRule>
    <cfRule type="cellIs" dxfId="8376" priority="103" operator="equal">
      <formula>4</formula>
    </cfRule>
    <cfRule type="cellIs" dxfId="8375" priority="104" operator="equal">
      <formula>2</formula>
    </cfRule>
    <cfRule type="cellIs" dxfId="8374" priority="105" operator="equal">
      <formula>7</formula>
    </cfRule>
    <cfRule type="cellIs" dxfId="8373" priority="106" operator="equal">
      <formula>1</formula>
    </cfRule>
  </conditionalFormatting>
  <conditionalFormatting sqref="T5:T36">
    <cfRule type="cellIs" dxfId="8372" priority="81" operator="equal">
      <formula>"a"</formula>
    </cfRule>
    <cfRule type="cellIs" dxfId="8371" priority="82" operator="equal">
      <formula>"k"</formula>
    </cfRule>
    <cfRule type="cellIs" dxfId="8370" priority="83" operator="equal">
      <formula>"u"</formula>
    </cfRule>
    <cfRule type="cellIs" dxfId="8369" priority="84" operator="equal">
      <formula>"f"</formula>
    </cfRule>
    <cfRule type="cellIs" dxfId="8368" priority="85" operator="equal">
      <formula>9</formula>
    </cfRule>
    <cfRule type="cellIs" dxfId="8367" priority="86" operator="equal">
      <formula>8</formula>
    </cfRule>
    <cfRule type="cellIs" dxfId="8366" priority="87" operator="equal">
      <formula>5</formula>
    </cfRule>
    <cfRule type="cellIs" dxfId="8365" priority="88" operator="equal">
      <formula>3</formula>
    </cfRule>
    <cfRule type="cellIs" dxfId="8364" priority="89" operator="equal">
      <formula>6</formula>
    </cfRule>
    <cfRule type="cellIs" dxfId="8363" priority="90" operator="equal">
      <formula>4</formula>
    </cfRule>
    <cfRule type="cellIs" dxfId="8362" priority="91" operator="equal">
      <formula>2</formula>
    </cfRule>
    <cfRule type="cellIs" dxfId="8361" priority="92" operator="equal">
      <formula>7</formula>
    </cfRule>
    <cfRule type="cellIs" dxfId="8360" priority="93" operator="equal">
      <formula>1</formula>
    </cfRule>
  </conditionalFormatting>
  <conditionalFormatting sqref="F5:F36">
    <cfRule type="expression" dxfId="8359" priority="68">
      <formula>COUNTIF(E5,"a")</formula>
    </cfRule>
    <cfRule type="expression" dxfId="8358" priority="69">
      <formula>COUNTIF(E5,"9")</formula>
    </cfRule>
    <cfRule type="expression" dxfId="8357" priority="70">
      <formula>COUNTIF(E5,"k")</formula>
    </cfRule>
    <cfRule type="expression" dxfId="8356" priority="71">
      <formula>COUNTIF(E5,"u")</formula>
    </cfRule>
    <cfRule type="expression" dxfId="8355" priority="72">
      <formula>COUNTIF(E5,"f")</formula>
    </cfRule>
    <cfRule type="expression" dxfId="8354" priority="73">
      <formula>COUNTIF(E5,"8")</formula>
    </cfRule>
    <cfRule type="expression" dxfId="8353" priority="74">
      <formula>COUNTIF(E5,"7")</formula>
    </cfRule>
    <cfRule type="expression" dxfId="8352" priority="75">
      <formula>COUNTIF(E5,"3")</formula>
    </cfRule>
    <cfRule type="expression" dxfId="8351" priority="77">
      <formula>COUNTIF(E5,"5")</formula>
    </cfRule>
    <cfRule type="expression" dxfId="8350" priority="78">
      <formula>COUNTIF(E5,"2")</formula>
    </cfRule>
    <cfRule type="expression" dxfId="8349" priority="79">
      <formula>COUNTIF(E5,"4")</formula>
    </cfRule>
    <cfRule type="expression" dxfId="8348" priority="80">
      <formula>COUNTIF(E5,"1")</formula>
    </cfRule>
  </conditionalFormatting>
  <conditionalFormatting sqref="F5:F36">
    <cfRule type="expression" dxfId="8347" priority="76">
      <formula>COUNTIF(E5,"6")</formula>
    </cfRule>
  </conditionalFormatting>
  <conditionalFormatting sqref="I5:I36">
    <cfRule type="expression" dxfId="8346" priority="55">
      <formula>COUNTIF(H5,"a")</formula>
    </cfRule>
    <cfRule type="expression" dxfId="8345" priority="56">
      <formula>COUNTIF(H5,"9")</formula>
    </cfRule>
    <cfRule type="expression" dxfId="8344" priority="57">
      <formula>COUNTIF(H5,"k")</formula>
    </cfRule>
    <cfRule type="expression" dxfId="8343" priority="58">
      <formula>COUNTIF(H5,"u")</formula>
    </cfRule>
    <cfRule type="expression" dxfId="8342" priority="59">
      <formula>COUNTIF(H5,"f")</formula>
    </cfRule>
    <cfRule type="expression" dxfId="8341" priority="60">
      <formula>COUNTIF(H5,"8")</formula>
    </cfRule>
    <cfRule type="expression" dxfId="8340" priority="61">
      <formula>COUNTIF(H5,"7")</formula>
    </cfRule>
    <cfRule type="expression" dxfId="8339" priority="62">
      <formula>COUNTIF(H5,"3")</formula>
    </cfRule>
    <cfRule type="expression" dxfId="8338" priority="64">
      <formula>COUNTIF(H5,"5")</formula>
    </cfRule>
    <cfRule type="expression" dxfId="8337" priority="65">
      <formula>COUNTIF(H5,"2")</formula>
    </cfRule>
    <cfRule type="expression" dxfId="8336" priority="66">
      <formula>COUNTIF(H5,"4")</formula>
    </cfRule>
    <cfRule type="expression" dxfId="8335" priority="67">
      <formula>COUNTIF(H5,"1")</formula>
    </cfRule>
  </conditionalFormatting>
  <conditionalFormatting sqref="I5:I36">
    <cfRule type="expression" dxfId="8334" priority="63">
      <formula>COUNTIF(H5,"6")</formula>
    </cfRule>
  </conditionalFormatting>
  <conditionalFormatting sqref="L5:L36">
    <cfRule type="expression" dxfId="8333" priority="42">
      <formula>COUNTIF(K5,"a")</formula>
    </cfRule>
    <cfRule type="expression" dxfId="8332" priority="43">
      <formula>COUNTIF(K5,"9")</formula>
    </cfRule>
    <cfRule type="expression" dxfId="8331" priority="44">
      <formula>COUNTIF(K5,"k")</formula>
    </cfRule>
    <cfRule type="expression" dxfId="8330" priority="45">
      <formula>COUNTIF(K5,"u")</formula>
    </cfRule>
    <cfRule type="expression" dxfId="8329" priority="46">
      <formula>COUNTIF(K5,"f")</formula>
    </cfRule>
    <cfRule type="expression" dxfId="8328" priority="47">
      <formula>COUNTIF(K5,"8")</formula>
    </cfRule>
    <cfRule type="expression" dxfId="8327" priority="48">
      <formula>COUNTIF(K5,"7")</formula>
    </cfRule>
    <cfRule type="expression" dxfId="8326" priority="49">
      <formula>COUNTIF(K5,"3")</formula>
    </cfRule>
    <cfRule type="expression" dxfId="8325" priority="51">
      <formula>COUNTIF(K5,"5")</formula>
    </cfRule>
    <cfRule type="expression" dxfId="8324" priority="52">
      <formula>COUNTIF(K5,"2")</formula>
    </cfRule>
    <cfRule type="expression" dxfId="8323" priority="53">
      <formula>COUNTIF(K5,"4")</formula>
    </cfRule>
    <cfRule type="expression" dxfId="8322" priority="54">
      <formula>COUNTIF(K5,"1")</formula>
    </cfRule>
  </conditionalFormatting>
  <conditionalFormatting sqref="L5:L36">
    <cfRule type="expression" dxfId="8321" priority="50">
      <formula>COUNTIF(K5,"6")</formula>
    </cfRule>
  </conditionalFormatting>
  <conditionalFormatting sqref="O5:O36">
    <cfRule type="expression" dxfId="8320" priority="29">
      <formula>COUNTIF(N5,"a")</formula>
    </cfRule>
    <cfRule type="expression" dxfId="8319" priority="30">
      <formula>COUNTIF(N5,"9")</formula>
    </cfRule>
    <cfRule type="expression" dxfId="8318" priority="31">
      <formula>COUNTIF(N5,"k")</formula>
    </cfRule>
    <cfRule type="expression" dxfId="8317" priority="32">
      <formula>COUNTIF(N5,"u")</formula>
    </cfRule>
    <cfRule type="expression" dxfId="8316" priority="33">
      <formula>COUNTIF(N5,"f")</formula>
    </cfRule>
    <cfRule type="expression" dxfId="8315" priority="34">
      <formula>COUNTIF(N5,"8")</formula>
    </cfRule>
    <cfRule type="expression" dxfId="8314" priority="35">
      <formula>COUNTIF(N5,"7")</formula>
    </cfRule>
    <cfRule type="expression" dxfId="8313" priority="36">
      <formula>COUNTIF(N5,"3")</formula>
    </cfRule>
    <cfRule type="expression" dxfId="8312" priority="38">
      <formula>COUNTIF(N5,"5")</formula>
    </cfRule>
    <cfRule type="expression" dxfId="8311" priority="39">
      <formula>COUNTIF(N5,"2")</formula>
    </cfRule>
    <cfRule type="expression" dxfId="8310" priority="40">
      <formula>COUNTIF(N5,"4")</formula>
    </cfRule>
    <cfRule type="expression" dxfId="8309" priority="41">
      <formula>COUNTIF(N5,"1")</formula>
    </cfRule>
  </conditionalFormatting>
  <conditionalFormatting sqref="O5:O36">
    <cfRule type="expression" dxfId="8308" priority="37">
      <formula>COUNTIF(N5,"6")</formula>
    </cfRule>
  </conditionalFormatting>
  <conditionalFormatting sqref="R5:R36">
    <cfRule type="expression" dxfId="8307" priority="16">
      <formula>COUNTIF(Q5,"a")</formula>
    </cfRule>
    <cfRule type="expression" dxfId="8306" priority="17">
      <formula>COUNTIF(Q5,"9")</formula>
    </cfRule>
    <cfRule type="expression" dxfId="8305" priority="18">
      <formula>COUNTIF(Q5,"k")</formula>
    </cfRule>
    <cfRule type="expression" dxfId="8304" priority="19">
      <formula>COUNTIF(Q5,"u")</formula>
    </cfRule>
    <cfRule type="expression" dxfId="8303" priority="20">
      <formula>COUNTIF(Q5,"f")</formula>
    </cfRule>
    <cfRule type="expression" dxfId="8302" priority="21">
      <formula>COUNTIF(Q5,"8")</formula>
    </cfRule>
    <cfRule type="expression" dxfId="8301" priority="22">
      <formula>COUNTIF(Q5,"7")</formula>
    </cfRule>
    <cfRule type="expression" dxfId="8300" priority="23">
      <formula>COUNTIF(Q5,"3")</formula>
    </cfRule>
    <cfRule type="expression" dxfId="8299" priority="25">
      <formula>COUNTIF(Q5,"5")</formula>
    </cfRule>
    <cfRule type="expression" dxfId="8298" priority="26">
      <formula>COUNTIF(Q5,"2")</formula>
    </cfRule>
    <cfRule type="expression" dxfId="8297" priority="27">
      <formula>COUNTIF(Q5,"4")</formula>
    </cfRule>
    <cfRule type="expression" dxfId="8296" priority="28">
      <formula>COUNTIF(Q5,"1")</formula>
    </cfRule>
  </conditionalFormatting>
  <conditionalFormatting sqref="R5:R36">
    <cfRule type="expression" dxfId="8295" priority="24">
      <formula>COUNTIF(Q5,"6")</formula>
    </cfRule>
  </conditionalFormatting>
  <conditionalFormatting sqref="U5:U36">
    <cfRule type="expression" dxfId="8294" priority="3">
      <formula>COUNTIF(T5,"a")</formula>
    </cfRule>
    <cfRule type="expression" dxfId="8293" priority="4">
      <formula>COUNTIF(T5,"9")</formula>
    </cfRule>
    <cfRule type="expression" dxfId="8292" priority="5">
      <formula>COUNTIF(T5,"k")</formula>
    </cfRule>
    <cfRule type="expression" dxfId="8291" priority="6">
      <formula>COUNTIF(T5,"u")</formula>
    </cfRule>
    <cfRule type="expression" dxfId="8290" priority="7">
      <formula>COUNTIF(T5,"f")</formula>
    </cfRule>
    <cfRule type="expression" dxfId="8289" priority="8">
      <formula>COUNTIF(T5,"8")</formula>
    </cfRule>
    <cfRule type="expression" dxfId="8288" priority="9">
      <formula>COUNTIF(T5,"7")</formula>
    </cfRule>
    <cfRule type="expression" dxfId="8287" priority="10">
      <formula>COUNTIF(T5,"3")</formula>
    </cfRule>
    <cfRule type="expression" dxfId="8286" priority="12">
      <formula>COUNTIF(T5,"5")</formula>
    </cfRule>
    <cfRule type="expression" dxfId="8285" priority="13">
      <formula>COUNTIF(T5,"2")</formula>
    </cfRule>
    <cfRule type="expression" dxfId="8284" priority="14">
      <formula>COUNTIF(T5,"4")</formula>
    </cfRule>
    <cfRule type="expression" dxfId="8283" priority="15">
      <formula>COUNTIF(T5,"1")</formula>
    </cfRule>
  </conditionalFormatting>
  <conditionalFormatting sqref="U5:U36">
    <cfRule type="expression" dxfId="8282" priority="11">
      <formula>COUNTIF(T5,"6")</formula>
    </cfRule>
  </conditionalFormatting>
  <conditionalFormatting sqref="V32">
    <cfRule type="cellIs" dxfId="8281" priority="1" operator="lessThan">
      <formula>0</formula>
    </cfRule>
    <cfRule type="cellIs" dxfId="828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F0C74F0-34E4-C048-A496-94CC03190117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80A7-9046-0645-9EC9-4B5ABC56C6CF}">
  <sheetPr codeName="Tabelle54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9</v>
      </c>
      <c r="Q1" s="176"/>
      <c r="R1" s="79">
        <f>DATE(V1,1,7*P1-3-WEEKDAY(DATE(V1,,),3))</f>
        <v>45348</v>
      </c>
      <c r="S1" s="80" t="s">
        <v>1</v>
      </c>
      <c r="T1" s="177">
        <f>DATE(V1,1,7*P1+3-WEEKDAY(DATE(V1,,),3))</f>
        <v>45354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45348</v>
      </c>
      <c r="B2" s="178"/>
      <c r="C2" s="178"/>
      <c r="D2" s="178">
        <f>A2+1</f>
        <v>45349</v>
      </c>
      <c r="E2" s="179"/>
      <c r="F2" s="179"/>
      <c r="G2" s="178">
        <f>D2+1</f>
        <v>45350</v>
      </c>
      <c r="H2" s="179"/>
      <c r="I2" s="179"/>
      <c r="J2" s="178">
        <f>G2+1</f>
        <v>45351</v>
      </c>
      <c r="K2" s="179"/>
      <c r="L2" s="179"/>
      <c r="M2" s="178">
        <f>J2+1</f>
        <v>45352</v>
      </c>
      <c r="N2" s="179"/>
      <c r="O2" s="179"/>
      <c r="P2" s="178">
        <f>M2+1</f>
        <v>45353</v>
      </c>
      <c r="Q2" s="179"/>
      <c r="R2" s="179"/>
      <c r="S2" s="178">
        <f>P2+1</f>
        <v>45354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45348</v>
      </c>
      <c r="B3" s="168"/>
      <c r="C3" s="168"/>
      <c r="D3" s="168">
        <f>A3+1</f>
        <v>45349</v>
      </c>
      <c r="E3" s="168"/>
      <c r="F3" s="168"/>
      <c r="G3" s="168">
        <f>D3+1</f>
        <v>45350</v>
      </c>
      <c r="H3" s="168"/>
      <c r="I3" s="168"/>
      <c r="J3" s="168">
        <f>G3+1</f>
        <v>45351</v>
      </c>
      <c r="K3" s="168"/>
      <c r="L3" s="168"/>
      <c r="M3" s="168">
        <f>J3+1</f>
        <v>45352</v>
      </c>
      <c r="N3" s="168"/>
      <c r="O3" s="168"/>
      <c r="P3" s="168">
        <f>M3+1</f>
        <v>45353</v>
      </c>
      <c r="Q3" s="168"/>
      <c r="R3" s="168"/>
      <c r="S3" s="168">
        <f>P3+1</f>
        <v>45354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45348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45349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45350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45351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45352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45353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45354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8'!V32</f>
        <v>-320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-360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8279" priority="159">
      <formula>COUNTIF(B5,"a")</formula>
    </cfRule>
    <cfRule type="expression" dxfId="8278" priority="161">
      <formula>COUNTIF(B5,"9")</formula>
    </cfRule>
    <cfRule type="expression" dxfId="8277" priority="163">
      <formula>COUNTIF(B5,"k")</formula>
    </cfRule>
    <cfRule type="expression" dxfId="8276" priority="164">
      <formula>COUNTIF(B5,"u")</formula>
    </cfRule>
    <cfRule type="expression" dxfId="8275" priority="167">
      <formula>COUNTIF(B5,"f")</formula>
    </cfRule>
    <cfRule type="expression" dxfId="8274" priority="168">
      <formula>COUNTIF(B5,"8")</formula>
    </cfRule>
    <cfRule type="expression" dxfId="8273" priority="169">
      <formula>COUNTIF(B5,"7")</formula>
    </cfRule>
    <cfRule type="expression" dxfId="8272" priority="170">
      <formula>COUNTIF(B5,"3")</formula>
    </cfRule>
    <cfRule type="expression" dxfId="8271" priority="181">
      <formula>COUNTIF(B5,"5")</formula>
    </cfRule>
    <cfRule type="expression" dxfId="8270" priority="182">
      <formula>COUNTIF(B5,"2")</formula>
    </cfRule>
    <cfRule type="expression" dxfId="8269" priority="183">
      <formula>COUNTIF(B5,"4")</formula>
    </cfRule>
    <cfRule type="expression" dxfId="8268" priority="184">
      <formula>COUNTIF(B5,"1")</formula>
    </cfRule>
  </conditionalFormatting>
  <conditionalFormatting sqref="B5:B36">
    <cfRule type="cellIs" dxfId="8267" priority="160" operator="equal">
      <formula>"a"</formula>
    </cfRule>
    <cfRule type="cellIs" dxfId="8266" priority="162" operator="equal">
      <formula>"k"</formula>
    </cfRule>
    <cfRule type="cellIs" dxfId="8265" priority="165" operator="equal">
      <formula>"u"</formula>
    </cfRule>
    <cfRule type="cellIs" dxfId="8264" priority="166" operator="equal">
      <formula>"f"</formula>
    </cfRule>
    <cfRule type="cellIs" dxfId="8263" priority="171" operator="equal">
      <formula>9</formula>
    </cfRule>
    <cfRule type="cellIs" dxfId="8262" priority="172" operator="equal">
      <formula>8</formula>
    </cfRule>
    <cfRule type="cellIs" dxfId="8261" priority="173" operator="equal">
      <formula>5</formula>
    </cfRule>
    <cfRule type="cellIs" dxfId="8260" priority="174" operator="equal">
      <formula>3</formula>
    </cfRule>
    <cfRule type="cellIs" dxfId="8259" priority="176" operator="equal">
      <formula>6</formula>
    </cfRule>
    <cfRule type="cellIs" dxfId="8258" priority="177" operator="equal">
      <formula>4</formula>
    </cfRule>
    <cfRule type="cellIs" dxfId="8257" priority="178" operator="equal">
      <formula>2</formula>
    </cfRule>
    <cfRule type="cellIs" dxfId="8256" priority="179" operator="equal">
      <formula>7</formula>
    </cfRule>
    <cfRule type="cellIs" dxfId="8255" priority="180" operator="equal">
      <formula>1</formula>
    </cfRule>
  </conditionalFormatting>
  <conditionalFormatting sqref="C5:C36">
    <cfRule type="expression" dxfId="8254" priority="175">
      <formula>COUNTIF(B5,"6")</formula>
    </cfRule>
  </conditionalFormatting>
  <conditionalFormatting sqref="E5:E36">
    <cfRule type="cellIs" dxfId="8253" priority="146" operator="equal">
      <formula>"a"</formula>
    </cfRule>
    <cfRule type="cellIs" dxfId="8252" priority="147" operator="equal">
      <formula>"k"</formula>
    </cfRule>
    <cfRule type="cellIs" dxfId="8251" priority="148" operator="equal">
      <formula>"u"</formula>
    </cfRule>
    <cfRule type="cellIs" dxfId="8250" priority="149" operator="equal">
      <formula>"f"</formula>
    </cfRule>
    <cfRule type="cellIs" dxfId="8249" priority="150" operator="equal">
      <formula>9</formula>
    </cfRule>
    <cfRule type="cellIs" dxfId="8248" priority="151" operator="equal">
      <formula>8</formula>
    </cfRule>
    <cfRule type="cellIs" dxfId="8247" priority="152" operator="equal">
      <formula>5</formula>
    </cfRule>
    <cfRule type="cellIs" dxfId="8246" priority="153" operator="equal">
      <formula>3</formula>
    </cfRule>
    <cfRule type="cellIs" dxfId="8245" priority="154" operator="equal">
      <formula>6</formula>
    </cfRule>
    <cfRule type="cellIs" dxfId="8244" priority="155" operator="equal">
      <formula>4</formula>
    </cfRule>
    <cfRule type="cellIs" dxfId="8243" priority="156" operator="equal">
      <formula>2</formula>
    </cfRule>
    <cfRule type="cellIs" dxfId="8242" priority="157" operator="equal">
      <formula>7</formula>
    </cfRule>
    <cfRule type="cellIs" dxfId="8241" priority="158" operator="equal">
      <formula>1</formula>
    </cfRule>
  </conditionalFormatting>
  <conditionalFormatting sqref="H5:H36">
    <cfRule type="cellIs" dxfId="8240" priority="133" operator="equal">
      <formula>"a"</formula>
    </cfRule>
    <cfRule type="cellIs" dxfId="8239" priority="134" operator="equal">
      <formula>"k"</formula>
    </cfRule>
    <cfRule type="cellIs" dxfId="8238" priority="135" operator="equal">
      <formula>"u"</formula>
    </cfRule>
    <cfRule type="cellIs" dxfId="8237" priority="136" operator="equal">
      <formula>"f"</formula>
    </cfRule>
    <cfRule type="cellIs" dxfId="8236" priority="137" operator="equal">
      <formula>9</formula>
    </cfRule>
    <cfRule type="cellIs" dxfId="8235" priority="138" operator="equal">
      <formula>8</formula>
    </cfRule>
    <cfRule type="cellIs" dxfId="8234" priority="139" operator="equal">
      <formula>5</formula>
    </cfRule>
    <cfRule type="cellIs" dxfId="8233" priority="140" operator="equal">
      <formula>3</formula>
    </cfRule>
    <cfRule type="cellIs" dxfId="8232" priority="141" operator="equal">
      <formula>6</formula>
    </cfRule>
    <cfRule type="cellIs" dxfId="8231" priority="142" operator="equal">
      <formula>4</formula>
    </cfRule>
    <cfRule type="cellIs" dxfId="8230" priority="143" operator="equal">
      <formula>2</formula>
    </cfRule>
    <cfRule type="cellIs" dxfId="8229" priority="144" operator="equal">
      <formula>7</formula>
    </cfRule>
    <cfRule type="cellIs" dxfId="8228" priority="145" operator="equal">
      <formula>1</formula>
    </cfRule>
  </conditionalFormatting>
  <conditionalFormatting sqref="K5:K36">
    <cfRule type="cellIs" dxfId="8227" priority="120" operator="equal">
      <formula>"a"</formula>
    </cfRule>
    <cfRule type="cellIs" dxfId="8226" priority="121" operator="equal">
      <formula>"k"</formula>
    </cfRule>
    <cfRule type="cellIs" dxfId="8225" priority="122" operator="equal">
      <formula>"u"</formula>
    </cfRule>
    <cfRule type="cellIs" dxfId="8224" priority="123" operator="equal">
      <formula>"f"</formula>
    </cfRule>
    <cfRule type="cellIs" dxfId="8223" priority="124" operator="equal">
      <formula>9</formula>
    </cfRule>
    <cfRule type="cellIs" dxfId="8222" priority="125" operator="equal">
      <formula>8</formula>
    </cfRule>
    <cfRule type="cellIs" dxfId="8221" priority="126" operator="equal">
      <formula>5</formula>
    </cfRule>
    <cfRule type="cellIs" dxfId="8220" priority="127" operator="equal">
      <formula>3</formula>
    </cfRule>
    <cfRule type="cellIs" dxfId="8219" priority="128" operator="equal">
      <formula>6</formula>
    </cfRule>
    <cfRule type="cellIs" dxfId="8218" priority="129" operator="equal">
      <formula>4</formula>
    </cfRule>
    <cfRule type="cellIs" dxfId="8217" priority="130" operator="equal">
      <formula>2</formula>
    </cfRule>
    <cfRule type="cellIs" dxfId="8216" priority="131" operator="equal">
      <formula>7</formula>
    </cfRule>
    <cfRule type="cellIs" dxfId="8215" priority="132" operator="equal">
      <formula>1</formula>
    </cfRule>
  </conditionalFormatting>
  <conditionalFormatting sqref="N5:N36">
    <cfRule type="cellIs" dxfId="8214" priority="107" operator="equal">
      <formula>"a"</formula>
    </cfRule>
    <cfRule type="cellIs" dxfId="8213" priority="108" operator="equal">
      <formula>"k"</formula>
    </cfRule>
    <cfRule type="cellIs" dxfId="8212" priority="109" operator="equal">
      <formula>"u"</formula>
    </cfRule>
    <cfRule type="cellIs" dxfId="8211" priority="110" operator="equal">
      <formula>"f"</formula>
    </cfRule>
    <cfRule type="cellIs" dxfId="8210" priority="111" operator="equal">
      <formula>9</formula>
    </cfRule>
    <cfRule type="cellIs" dxfId="8209" priority="112" operator="equal">
      <formula>8</formula>
    </cfRule>
    <cfRule type="cellIs" dxfId="8208" priority="113" operator="equal">
      <formula>5</formula>
    </cfRule>
    <cfRule type="cellIs" dxfId="8207" priority="114" operator="equal">
      <formula>3</formula>
    </cfRule>
    <cfRule type="cellIs" dxfId="8206" priority="115" operator="equal">
      <formula>6</formula>
    </cfRule>
    <cfRule type="cellIs" dxfId="8205" priority="116" operator="equal">
      <formula>4</formula>
    </cfRule>
    <cfRule type="cellIs" dxfId="8204" priority="117" operator="equal">
      <formula>2</formula>
    </cfRule>
    <cfRule type="cellIs" dxfId="8203" priority="118" operator="equal">
      <formula>7</formula>
    </cfRule>
    <cfRule type="cellIs" dxfId="8202" priority="119" operator="equal">
      <formula>1</formula>
    </cfRule>
  </conditionalFormatting>
  <conditionalFormatting sqref="Q5:Q36">
    <cfRule type="cellIs" dxfId="8201" priority="94" operator="equal">
      <formula>"a"</formula>
    </cfRule>
    <cfRule type="cellIs" dxfId="8200" priority="95" operator="equal">
      <formula>"k"</formula>
    </cfRule>
    <cfRule type="cellIs" dxfId="8199" priority="96" operator="equal">
      <formula>"u"</formula>
    </cfRule>
    <cfRule type="cellIs" dxfId="8198" priority="97" operator="equal">
      <formula>"f"</formula>
    </cfRule>
    <cfRule type="cellIs" dxfId="8197" priority="98" operator="equal">
      <formula>9</formula>
    </cfRule>
    <cfRule type="cellIs" dxfId="8196" priority="99" operator="equal">
      <formula>8</formula>
    </cfRule>
    <cfRule type="cellIs" dxfId="8195" priority="100" operator="equal">
      <formula>5</formula>
    </cfRule>
    <cfRule type="cellIs" dxfId="8194" priority="101" operator="equal">
      <formula>3</formula>
    </cfRule>
    <cfRule type="cellIs" dxfId="8193" priority="102" operator="equal">
      <formula>6</formula>
    </cfRule>
    <cfRule type="cellIs" dxfId="8192" priority="103" operator="equal">
      <formula>4</formula>
    </cfRule>
    <cfRule type="cellIs" dxfId="8191" priority="104" operator="equal">
      <formula>2</formula>
    </cfRule>
    <cfRule type="cellIs" dxfId="8190" priority="105" operator="equal">
      <formula>7</formula>
    </cfRule>
    <cfRule type="cellIs" dxfId="8189" priority="106" operator="equal">
      <formula>1</formula>
    </cfRule>
  </conditionalFormatting>
  <conditionalFormatting sqref="T5:T36">
    <cfRule type="cellIs" dxfId="8188" priority="81" operator="equal">
      <formula>"a"</formula>
    </cfRule>
    <cfRule type="cellIs" dxfId="8187" priority="82" operator="equal">
      <formula>"k"</formula>
    </cfRule>
    <cfRule type="cellIs" dxfId="8186" priority="83" operator="equal">
      <formula>"u"</formula>
    </cfRule>
    <cfRule type="cellIs" dxfId="8185" priority="84" operator="equal">
      <formula>"f"</formula>
    </cfRule>
    <cfRule type="cellIs" dxfId="8184" priority="85" operator="equal">
      <formula>9</formula>
    </cfRule>
    <cfRule type="cellIs" dxfId="8183" priority="86" operator="equal">
      <formula>8</formula>
    </cfRule>
    <cfRule type="cellIs" dxfId="8182" priority="87" operator="equal">
      <formula>5</formula>
    </cfRule>
    <cfRule type="cellIs" dxfId="8181" priority="88" operator="equal">
      <formula>3</formula>
    </cfRule>
    <cfRule type="cellIs" dxfId="8180" priority="89" operator="equal">
      <formula>6</formula>
    </cfRule>
    <cfRule type="cellIs" dxfId="8179" priority="90" operator="equal">
      <formula>4</formula>
    </cfRule>
    <cfRule type="cellIs" dxfId="8178" priority="91" operator="equal">
      <formula>2</formula>
    </cfRule>
    <cfRule type="cellIs" dxfId="8177" priority="92" operator="equal">
      <formula>7</formula>
    </cfRule>
    <cfRule type="cellIs" dxfId="8176" priority="93" operator="equal">
      <formula>1</formula>
    </cfRule>
  </conditionalFormatting>
  <conditionalFormatting sqref="F5:F36">
    <cfRule type="expression" dxfId="8175" priority="68">
      <formula>COUNTIF(E5,"a")</formula>
    </cfRule>
    <cfRule type="expression" dxfId="8174" priority="69">
      <formula>COUNTIF(E5,"9")</formula>
    </cfRule>
    <cfRule type="expression" dxfId="8173" priority="70">
      <formula>COUNTIF(E5,"k")</formula>
    </cfRule>
    <cfRule type="expression" dxfId="8172" priority="71">
      <formula>COUNTIF(E5,"u")</formula>
    </cfRule>
    <cfRule type="expression" dxfId="8171" priority="72">
      <formula>COUNTIF(E5,"f")</formula>
    </cfRule>
    <cfRule type="expression" dxfId="8170" priority="73">
      <formula>COUNTIF(E5,"8")</formula>
    </cfRule>
    <cfRule type="expression" dxfId="8169" priority="74">
      <formula>COUNTIF(E5,"7")</formula>
    </cfRule>
    <cfRule type="expression" dxfId="8168" priority="75">
      <formula>COUNTIF(E5,"3")</formula>
    </cfRule>
    <cfRule type="expression" dxfId="8167" priority="77">
      <formula>COUNTIF(E5,"5")</formula>
    </cfRule>
    <cfRule type="expression" dxfId="8166" priority="78">
      <formula>COUNTIF(E5,"2")</formula>
    </cfRule>
    <cfRule type="expression" dxfId="8165" priority="79">
      <formula>COUNTIF(E5,"4")</formula>
    </cfRule>
    <cfRule type="expression" dxfId="8164" priority="80">
      <formula>COUNTIF(E5,"1")</formula>
    </cfRule>
  </conditionalFormatting>
  <conditionalFormatting sqref="F5:F36">
    <cfRule type="expression" dxfId="8163" priority="76">
      <formula>COUNTIF(E5,"6")</formula>
    </cfRule>
  </conditionalFormatting>
  <conditionalFormatting sqref="I5:I36">
    <cfRule type="expression" dxfId="8162" priority="55">
      <formula>COUNTIF(H5,"a")</formula>
    </cfRule>
    <cfRule type="expression" dxfId="8161" priority="56">
      <formula>COUNTIF(H5,"9")</formula>
    </cfRule>
    <cfRule type="expression" dxfId="8160" priority="57">
      <formula>COUNTIF(H5,"k")</formula>
    </cfRule>
    <cfRule type="expression" dxfId="8159" priority="58">
      <formula>COUNTIF(H5,"u")</formula>
    </cfRule>
    <cfRule type="expression" dxfId="8158" priority="59">
      <formula>COUNTIF(H5,"f")</formula>
    </cfRule>
    <cfRule type="expression" dxfId="8157" priority="60">
      <formula>COUNTIF(H5,"8")</formula>
    </cfRule>
    <cfRule type="expression" dxfId="8156" priority="61">
      <formula>COUNTIF(H5,"7")</formula>
    </cfRule>
    <cfRule type="expression" dxfId="8155" priority="62">
      <formula>COUNTIF(H5,"3")</formula>
    </cfRule>
    <cfRule type="expression" dxfId="8154" priority="64">
      <formula>COUNTIF(H5,"5")</formula>
    </cfRule>
    <cfRule type="expression" dxfId="8153" priority="65">
      <formula>COUNTIF(H5,"2")</formula>
    </cfRule>
    <cfRule type="expression" dxfId="8152" priority="66">
      <formula>COUNTIF(H5,"4")</formula>
    </cfRule>
    <cfRule type="expression" dxfId="8151" priority="67">
      <formula>COUNTIF(H5,"1")</formula>
    </cfRule>
  </conditionalFormatting>
  <conditionalFormatting sqref="I5:I36">
    <cfRule type="expression" dxfId="8150" priority="63">
      <formula>COUNTIF(H5,"6")</formula>
    </cfRule>
  </conditionalFormatting>
  <conditionalFormatting sqref="L5:L36">
    <cfRule type="expression" dxfId="8149" priority="42">
      <formula>COUNTIF(K5,"a")</formula>
    </cfRule>
    <cfRule type="expression" dxfId="8148" priority="43">
      <formula>COUNTIF(K5,"9")</formula>
    </cfRule>
    <cfRule type="expression" dxfId="8147" priority="44">
      <formula>COUNTIF(K5,"k")</formula>
    </cfRule>
    <cfRule type="expression" dxfId="8146" priority="45">
      <formula>COUNTIF(K5,"u")</formula>
    </cfRule>
    <cfRule type="expression" dxfId="8145" priority="46">
      <formula>COUNTIF(K5,"f")</formula>
    </cfRule>
    <cfRule type="expression" dxfId="8144" priority="47">
      <formula>COUNTIF(K5,"8")</formula>
    </cfRule>
    <cfRule type="expression" dxfId="8143" priority="48">
      <formula>COUNTIF(K5,"7")</formula>
    </cfRule>
    <cfRule type="expression" dxfId="8142" priority="49">
      <formula>COUNTIF(K5,"3")</formula>
    </cfRule>
    <cfRule type="expression" dxfId="8141" priority="51">
      <formula>COUNTIF(K5,"5")</formula>
    </cfRule>
    <cfRule type="expression" dxfId="8140" priority="52">
      <formula>COUNTIF(K5,"2")</formula>
    </cfRule>
    <cfRule type="expression" dxfId="8139" priority="53">
      <formula>COUNTIF(K5,"4")</formula>
    </cfRule>
    <cfRule type="expression" dxfId="8138" priority="54">
      <formula>COUNTIF(K5,"1")</formula>
    </cfRule>
  </conditionalFormatting>
  <conditionalFormatting sqref="L5:L36">
    <cfRule type="expression" dxfId="8137" priority="50">
      <formula>COUNTIF(K5,"6")</formula>
    </cfRule>
  </conditionalFormatting>
  <conditionalFormatting sqref="O5:O36">
    <cfRule type="expression" dxfId="8136" priority="29">
      <formula>COUNTIF(N5,"a")</formula>
    </cfRule>
    <cfRule type="expression" dxfId="8135" priority="30">
      <formula>COUNTIF(N5,"9")</formula>
    </cfRule>
    <cfRule type="expression" dxfId="8134" priority="31">
      <formula>COUNTIF(N5,"k")</formula>
    </cfRule>
    <cfRule type="expression" dxfId="8133" priority="32">
      <formula>COUNTIF(N5,"u")</formula>
    </cfRule>
    <cfRule type="expression" dxfId="8132" priority="33">
      <formula>COUNTIF(N5,"f")</formula>
    </cfRule>
    <cfRule type="expression" dxfId="8131" priority="34">
      <formula>COUNTIF(N5,"8")</formula>
    </cfRule>
    <cfRule type="expression" dxfId="8130" priority="35">
      <formula>COUNTIF(N5,"7")</formula>
    </cfRule>
    <cfRule type="expression" dxfId="8129" priority="36">
      <formula>COUNTIF(N5,"3")</formula>
    </cfRule>
    <cfRule type="expression" dxfId="8128" priority="38">
      <formula>COUNTIF(N5,"5")</formula>
    </cfRule>
    <cfRule type="expression" dxfId="8127" priority="39">
      <formula>COUNTIF(N5,"2")</formula>
    </cfRule>
    <cfRule type="expression" dxfId="8126" priority="40">
      <formula>COUNTIF(N5,"4")</formula>
    </cfRule>
    <cfRule type="expression" dxfId="8125" priority="41">
      <formula>COUNTIF(N5,"1")</formula>
    </cfRule>
  </conditionalFormatting>
  <conditionalFormatting sqref="O5:O36">
    <cfRule type="expression" dxfId="8124" priority="37">
      <formula>COUNTIF(N5,"6")</formula>
    </cfRule>
  </conditionalFormatting>
  <conditionalFormatting sqref="R5:R36">
    <cfRule type="expression" dxfId="8123" priority="16">
      <formula>COUNTIF(Q5,"a")</formula>
    </cfRule>
    <cfRule type="expression" dxfId="8122" priority="17">
      <formula>COUNTIF(Q5,"9")</formula>
    </cfRule>
    <cfRule type="expression" dxfId="8121" priority="18">
      <formula>COUNTIF(Q5,"k")</formula>
    </cfRule>
    <cfRule type="expression" dxfId="8120" priority="19">
      <formula>COUNTIF(Q5,"u")</formula>
    </cfRule>
    <cfRule type="expression" dxfId="8119" priority="20">
      <formula>COUNTIF(Q5,"f")</formula>
    </cfRule>
    <cfRule type="expression" dxfId="8118" priority="21">
      <formula>COUNTIF(Q5,"8")</formula>
    </cfRule>
    <cfRule type="expression" dxfId="8117" priority="22">
      <formula>COUNTIF(Q5,"7")</formula>
    </cfRule>
    <cfRule type="expression" dxfId="8116" priority="23">
      <formula>COUNTIF(Q5,"3")</formula>
    </cfRule>
    <cfRule type="expression" dxfId="8115" priority="25">
      <formula>COUNTIF(Q5,"5")</formula>
    </cfRule>
    <cfRule type="expression" dxfId="8114" priority="26">
      <formula>COUNTIF(Q5,"2")</formula>
    </cfRule>
    <cfRule type="expression" dxfId="8113" priority="27">
      <formula>COUNTIF(Q5,"4")</formula>
    </cfRule>
    <cfRule type="expression" dxfId="8112" priority="28">
      <formula>COUNTIF(Q5,"1")</formula>
    </cfRule>
  </conditionalFormatting>
  <conditionalFormatting sqref="R5:R36">
    <cfRule type="expression" dxfId="8111" priority="24">
      <formula>COUNTIF(Q5,"6")</formula>
    </cfRule>
  </conditionalFormatting>
  <conditionalFormatting sqref="U5:U36">
    <cfRule type="expression" dxfId="8110" priority="3">
      <formula>COUNTIF(T5,"a")</formula>
    </cfRule>
    <cfRule type="expression" dxfId="8109" priority="4">
      <formula>COUNTIF(T5,"9")</formula>
    </cfRule>
    <cfRule type="expression" dxfId="8108" priority="5">
      <formula>COUNTIF(T5,"k")</formula>
    </cfRule>
    <cfRule type="expression" dxfId="8107" priority="6">
      <formula>COUNTIF(T5,"u")</formula>
    </cfRule>
    <cfRule type="expression" dxfId="8106" priority="7">
      <formula>COUNTIF(T5,"f")</formula>
    </cfRule>
    <cfRule type="expression" dxfId="8105" priority="8">
      <formula>COUNTIF(T5,"8")</formula>
    </cfRule>
    <cfRule type="expression" dxfId="8104" priority="9">
      <formula>COUNTIF(T5,"7")</formula>
    </cfRule>
    <cfRule type="expression" dxfId="8103" priority="10">
      <formula>COUNTIF(T5,"3")</formula>
    </cfRule>
    <cfRule type="expression" dxfId="8102" priority="12">
      <formula>COUNTIF(T5,"5")</formula>
    </cfRule>
    <cfRule type="expression" dxfId="8101" priority="13">
      <formula>COUNTIF(T5,"2")</formula>
    </cfRule>
    <cfRule type="expression" dxfId="8100" priority="14">
      <formula>COUNTIF(T5,"4")</formula>
    </cfRule>
    <cfRule type="expression" dxfId="8099" priority="15">
      <formula>COUNTIF(T5,"1")</formula>
    </cfRule>
  </conditionalFormatting>
  <conditionalFormatting sqref="U5:U36">
    <cfRule type="expression" dxfId="8098" priority="11">
      <formula>COUNTIF(T5,"6")</formula>
    </cfRule>
  </conditionalFormatting>
  <conditionalFormatting sqref="V32">
    <cfRule type="cellIs" dxfId="8097" priority="1" operator="lessThan">
      <formula>0</formula>
    </cfRule>
    <cfRule type="cellIs" dxfId="809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E0FD01E8-5BD3-FF4A-B7C5-7067FC755B32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C6FDC-51E3-5645-9B85-B15CCC0D0381}">
  <sheetPr codeName="Tabelle55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10</v>
      </c>
      <c r="Q1" s="176"/>
      <c r="R1" s="79">
        <f>DATE(V1,1,7*P1-3-WEEKDAY(DATE(V1,,),3))</f>
        <v>45355</v>
      </c>
      <c r="S1" s="80" t="s">
        <v>1</v>
      </c>
      <c r="T1" s="177">
        <f>DATE(V1,1,7*P1+3-WEEKDAY(DATE(V1,,),3))</f>
        <v>45361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45355</v>
      </c>
      <c r="B2" s="178"/>
      <c r="C2" s="178"/>
      <c r="D2" s="178">
        <f>A2+1</f>
        <v>45356</v>
      </c>
      <c r="E2" s="179"/>
      <c r="F2" s="179"/>
      <c r="G2" s="178">
        <f>D2+1</f>
        <v>45357</v>
      </c>
      <c r="H2" s="179"/>
      <c r="I2" s="179"/>
      <c r="J2" s="178">
        <f>G2+1</f>
        <v>45358</v>
      </c>
      <c r="K2" s="179"/>
      <c r="L2" s="179"/>
      <c r="M2" s="178">
        <f>J2+1</f>
        <v>45359</v>
      </c>
      <c r="N2" s="179"/>
      <c r="O2" s="179"/>
      <c r="P2" s="178">
        <f>M2+1</f>
        <v>45360</v>
      </c>
      <c r="Q2" s="179"/>
      <c r="R2" s="179"/>
      <c r="S2" s="178">
        <f>P2+1</f>
        <v>45361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45355</v>
      </c>
      <c r="B3" s="168"/>
      <c r="C3" s="168"/>
      <c r="D3" s="168">
        <f>A3+1</f>
        <v>45356</v>
      </c>
      <c r="E3" s="168"/>
      <c r="F3" s="168"/>
      <c r="G3" s="168">
        <f>D3+1</f>
        <v>45357</v>
      </c>
      <c r="H3" s="168"/>
      <c r="I3" s="168"/>
      <c r="J3" s="168">
        <f>G3+1</f>
        <v>45358</v>
      </c>
      <c r="K3" s="168"/>
      <c r="L3" s="168"/>
      <c r="M3" s="168">
        <f>J3+1</f>
        <v>45359</v>
      </c>
      <c r="N3" s="168"/>
      <c r="O3" s="168"/>
      <c r="P3" s="168">
        <f>M3+1</f>
        <v>45360</v>
      </c>
      <c r="Q3" s="168"/>
      <c r="R3" s="168"/>
      <c r="S3" s="168">
        <f>P3+1</f>
        <v>45361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45355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45356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45357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45358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45359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45360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45361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9'!V32</f>
        <v>-360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-400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8095" priority="159">
      <formula>COUNTIF(B5,"a")</formula>
    </cfRule>
    <cfRule type="expression" dxfId="8094" priority="161">
      <formula>COUNTIF(B5,"9")</formula>
    </cfRule>
    <cfRule type="expression" dxfId="8093" priority="163">
      <formula>COUNTIF(B5,"k")</formula>
    </cfRule>
    <cfRule type="expression" dxfId="8092" priority="164">
      <formula>COUNTIF(B5,"u")</formula>
    </cfRule>
    <cfRule type="expression" dxfId="8091" priority="167">
      <formula>COUNTIF(B5,"f")</formula>
    </cfRule>
    <cfRule type="expression" dxfId="8090" priority="168">
      <formula>COUNTIF(B5,"8")</formula>
    </cfRule>
    <cfRule type="expression" dxfId="8089" priority="169">
      <formula>COUNTIF(B5,"7")</formula>
    </cfRule>
    <cfRule type="expression" dxfId="8088" priority="170">
      <formula>COUNTIF(B5,"3")</formula>
    </cfRule>
    <cfRule type="expression" dxfId="8087" priority="181">
      <formula>COUNTIF(B5,"5")</formula>
    </cfRule>
    <cfRule type="expression" dxfId="8086" priority="182">
      <formula>COUNTIF(B5,"2")</formula>
    </cfRule>
    <cfRule type="expression" dxfId="8085" priority="183">
      <formula>COUNTIF(B5,"4")</formula>
    </cfRule>
    <cfRule type="expression" dxfId="8084" priority="184">
      <formula>COUNTIF(B5,"1")</formula>
    </cfRule>
  </conditionalFormatting>
  <conditionalFormatting sqref="B5:B36">
    <cfRule type="cellIs" dxfId="8083" priority="160" operator="equal">
      <formula>"a"</formula>
    </cfRule>
    <cfRule type="cellIs" dxfId="8082" priority="162" operator="equal">
      <formula>"k"</formula>
    </cfRule>
    <cfRule type="cellIs" dxfId="8081" priority="165" operator="equal">
      <formula>"u"</formula>
    </cfRule>
    <cfRule type="cellIs" dxfId="8080" priority="166" operator="equal">
      <formula>"f"</formula>
    </cfRule>
    <cfRule type="cellIs" dxfId="8079" priority="171" operator="equal">
      <formula>9</formula>
    </cfRule>
    <cfRule type="cellIs" dxfId="8078" priority="172" operator="equal">
      <formula>8</formula>
    </cfRule>
    <cfRule type="cellIs" dxfId="8077" priority="173" operator="equal">
      <formula>5</formula>
    </cfRule>
    <cfRule type="cellIs" dxfId="8076" priority="174" operator="equal">
      <formula>3</formula>
    </cfRule>
    <cfRule type="cellIs" dxfId="8075" priority="176" operator="equal">
      <formula>6</formula>
    </cfRule>
    <cfRule type="cellIs" dxfId="8074" priority="177" operator="equal">
      <formula>4</formula>
    </cfRule>
    <cfRule type="cellIs" dxfId="8073" priority="178" operator="equal">
      <formula>2</formula>
    </cfRule>
    <cfRule type="cellIs" dxfId="8072" priority="179" operator="equal">
      <formula>7</formula>
    </cfRule>
    <cfRule type="cellIs" dxfId="8071" priority="180" operator="equal">
      <formula>1</formula>
    </cfRule>
  </conditionalFormatting>
  <conditionalFormatting sqref="C5:C36">
    <cfRule type="expression" dxfId="8070" priority="175">
      <formula>COUNTIF(B5,"6")</formula>
    </cfRule>
  </conditionalFormatting>
  <conditionalFormatting sqref="E5:E36">
    <cfRule type="cellIs" dxfId="8069" priority="146" operator="equal">
      <formula>"a"</formula>
    </cfRule>
    <cfRule type="cellIs" dxfId="8068" priority="147" operator="equal">
      <formula>"k"</formula>
    </cfRule>
    <cfRule type="cellIs" dxfId="8067" priority="148" operator="equal">
      <formula>"u"</formula>
    </cfRule>
    <cfRule type="cellIs" dxfId="8066" priority="149" operator="equal">
      <formula>"f"</formula>
    </cfRule>
    <cfRule type="cellIs" dxfId="8065" priority="150" operator="equal">
      <formula>9</formula>
    </cfRule>
    <cfRule type="cellIs" dxfId="8064" priority="151" operator="equal">
      <formula>8</formula>
    </cfRule>
    <cfRule type="cellIs" dxfId="8063" priority="152" operator="equal">
      <formula>5</formula>
    </cfRule>
    <cfRule type="cellIs" dxfId="8062" priority="153" operator="equal">
      <formula>3</formula>
    </cfRule>
    <cfRule type="cellIs" dxfId="8061" priority="154" operator="equal">
      <formula>6</formula>
    </cfRule>
    <cfRule type="cellIs" dxfId="8060" priority="155" operator="equal">
      <formula>4</formula>
    </cfRule>
    <cfRule type="cellIs" dxfId="8059" priority="156" operator="equal">
      <formula>2</formula>
    </cfRule>
    <cfRule type="cellIs" dxfId="8058" priority="157" operator="equal">
      <formula>7</formula>
    </cfRule>
    <cfRule type="cellIs" dxfId="8057" priority="158" operator="equal">
      <formula>1</formula>
    </cfRule>
  </conditionalFormatting>
  <conditionalFormatting sqref="H5:H36">
    <cfRule type="cellIs" dxfId="8056" priority="133" operator="equal">
      <formula>"a"</formula>
    </cfRule>
    <cfRule type="cellIs" dxfId="8055" priority="134" operator="equal">
      <formula>"k"</formula>
    </cfRule>
    <cfRule type="cellIs" dxfId="8054" priority="135" operator="equal">
      <formula>"u"</formula>
    </cfRule>
    <cfRule type="cellIs" dxfId="8053" priority="136" operator="equal">
      <formula>"f"</formula>
    </cfRule>
    <cfRule type="cellIs" dxfId="8052" priority="137" operator="equal">
      <formula>9</formula>
    </cfRule>
    <cfRule type="cellIs" dxfId="8051" priority="138" operator="equal">
      <formula>8</formula>
    </cfRule>
    <cfRule type="cellIs" dxfId="8050" priority="139" operator="equal">
      <formula>5</formula>
    </cfRule>
    <cfRule type="cellIs" dxfId="8049" priority="140" operator="equal">
      <formula>3</formula>
    </cfRule>
    <cfRule type="cellIs" dxfId="8048" priority="141" operator="equal">
      <formula>6</formula>
    </cfRule>
    <cfRule type="cellIs" dxfId="8047" priority="142" operator="equal">
      <formula>4</formula>
    </cfRule>
    <cfRule type="cellIs" dxfId="8046" priority="143" operator="equal">
      <formula>2</formula>
    </cfRule>
    <cfRule type="cellIs" dxfId="8045" priority="144" operator="equal">
      <formula>7</formula>
    </cfRule>
    <cfRule type="cellIs" dxfId="8044" priority="145" operator="equal">
      <formula>1</formula>
    </cfRule>
  </conditionalFormatting>
  <conditionalFormatting sqref="K5:K36">
    <cfRule type="cellIs" dxfId="8043" priority="120" operator="equal">
      <formula>"a"</formula>
    </cfRule>
    <cfRule type="cellIs" dxfId="8042" priority="121" operator="equal">
      <formula>"k"</formula>
    </cfRule>
    <cfRule type="cellIs" dxfId="8041" priority="122" operator="equal">
      <formula>"u"</formula>
    </cfRule>
    <cfRule type="cellIs" dxfId="8040" priority="123" operator="equal">
      <formula>"f"</formula>
    </cfRule>
    <cfRule type="cellIs" dxfId="8039" priority="124" operator="equal">
      <formula>9</formula>
    </cfRule>
    <cfRule type="cellIs" dxfId="8038" priority="125" operator="equal">
      <formula>8</formula>
    </cfRule>
    <cfRule type="cellIs" dxfId="8037" priority="126" operator="equal">
      <formula>5</formula>
    </cfRule>
    <cfRule type="cellIs" dxfId="8036" priority="127" operator="equal">
      <formula>3</formula>
    </cfRule>
    <cfRule type="cellIs" dxfId="8035" priority="128" operator="equal">
      <formula>6</formula>
    </cfRule>
    <cfRule type="cellIs" dxfId="8034" priority="129" operator="equal">
      <formula>4</formula>
    </cfRule>
    <cfRule type="cellIs" dxfId="8033" priority="130" operator="equal">
      <formula>2</formula>
    </cfRule>
    <cfRule type="cellIs" dxfId="8032" priority="131" operator="equal">
      <formula>7</formula>
    </cfRule>
    <cfRule type="cellIs" dxfId="8031" priority="132" operator="equal">
      <formula>1</formula>
    </cfRule>
  </conditionalFormatting>
  <conditionalFormatting sqref="N5:N36">
    <cfRule type="cellIs" dxfId="8030" priority="107" operator="equal">
      <formula>"a"</formula>
    </cfRule>
    <cfRule type="cellIs" dxfId="8029" priority="108" operator="equal">
      <formula>"k"</formula>
    </cfRule>
    <cfRule type="cellIs" dxfId="8028" priority="109" operator="equal">
      <formula>"u"</formula>
    </cfRule>
    <cfRule type="cellIs" dxfId="8027" priority="110" operator="equal">
      <formula>"f"</formula>
    </cfRule>
    <cfRule type="cellIs" dxfId="8026" priority="111" operator="equal">
      <formula>9</formula>
    </cfRule>
    <cfRule type="cellIs" dxfId="8025" priority="112" operator="equal">
      <formula>8</formula>
    </cfRule>
    <cfRule type="cellIs" dxfId="8024" priority="113" operator="equal">
      <formula>5</formula>
    </cfRule>
    <cfRule type="cellIs" dxfId="8023" priority="114" operator="equal">
      <formula>3</formula>
    </cfRule>
    <cfRule type="cellIs" dxfId="8022" priority="115" operator="equal">
      <formula>6</formula>
    </cfRule>
    <cfRule type="cellIs" dxfId="8021" priority="116" operator="equal">
      <formula>4</formula>
    </cfRule>
    <cfRule type="cellIs" dxfId="8020" priority="117" operator="equal">
      <formula>2</formula>
    </cfRule>
    <cfRule type="cellIs" dxfId="8019" priority="118" operator="equal">
      <formula>7</formula>
    </cfRule>
    <cfRule type="cellIs" dxfId="8018" priority="119" operator="equal">
      <formula>1</formula>
    </cfRule>
  </conditionalFormatting>
  <conditionalFormatting sqref="Q5:Q36">
    <cfRule type="cellIs" dxfId="8017" priority="94" operator="equal">
      <formula>"a"</formula>
    </cfRule>
    <cfRule type="cellIs" dxfId="8016" priority="95" operator="equal">
      <formula>"k"</formula>
    </cfRule>
    <cfRule type="cellIs" dxfId="8015" priority="96" operator="equal">
      <formula>"u"</formula>
    </cfRule>
    <cfRule type="cellIs" dxfId="8014" priority="97" operator="equal">
      <formula>"f"</formula>
    </cfRule>
    <cfRule type="cellIs" dxfId="8013" priority="98" operator="equal">
      <formula>9</formula>
    </cfRule>
    <cfRule type="cellIs" dxfId="8012" priority="99" operator="equal">
      <formula>8</formula>
    </cfRule>
    <cfRule type="cellIs" dxfId="8011" priority="100" operator="equal">
      <formula>5</formula>
    </cfRule>
    <cfRule type="cellIs" dxfId="8010" priority="101" operator="equal">
      <formula>3</formula>
    </cfRule>
    <cfRule type="cellIs" dxfId="8009" priority="102" operator="equal">
      <formula>6</formula>
    </cfRule>
    <cfRule type="cellIs" dxfId="8008" priority="103" operator="equal">
      <formula>4</formula>
    </cfRule>
    <cfRule type="cellIs" dxfId="8007" priority="104" operator="equal">
      <formula>2</formula>
    </cfRule>
    <cfRule type="cellIs" dxfId="8006" priority="105" operator="equal">
      <formula>7</formula>
    </cfRule>
    <cfRule type="cellIs" dxfId="8005" priority="106" operator="equal">
      <formula>1</formula>
    </cfRule>
  </conditionalFormatting>
  <conditionalFormatting sqref="T5:T36">
    <cfRule type="cellIs" dxfId="8004" priority="81" operator="equal">
      <formula>"a"</formula>
    </cfRule>
    <cfRule type="cellIs" dxfId="8003" priority="82" operator="equal">
      <formula>"k"</formula>
    </cfRule>
    <cfRule type="cellIs" dxfId="8002" priority="83" operator="equal">
      <formula>"u"</formula>
    </cfRule>
    <cfRule type="cellIs" dxfId="8001" priority="84" operator="equal">
      <formula>"f"</formula>
    </cfRule>
    <cfRule type="cellIs" dxfId="8000" priority="85" operator="equal">
      <formula>9</formula>
    </cfRule>
    <cfRule type="cellIs" dxfId="7999" priority="86" operator="equal">
      <formula>8</formula>
    </cfRule>
    <cfRule type="cellIs" dxfId="7998" priority="87" operator="equal">
      <formula>5</formula>
    </cfRule>
    <cfRule type="cellIs" dxfId="7997" priority="88" operator="equal">
      <formula>3</formula>
    </cfRule>
    <cfRule type="cellIs" dxfId="7996" priority="89" operator="equal">
      <formula>6</formula>
    </cfRule>
    <cfRule type="cellIs" dxfId="7995" priority="90" operator="equal">
      <formula>4</formula>
    </cfRule>
    <cfRule type="cellIs" dxfId="7994" priority="91" operator="equal">
      <formula>2</formula>
    </cfRule>
    <cfRule type="cellIs" dxfId="7993" priority="92" operator="equal">
      <formula>7</formula>
    </cfRule>
    <cfRule type="cellIs" dxfId="7992" priority="93" operator="equal">
      <formula>1</formula>
    </cfRule>
  </conditionalFormatting>
  <conditionalFormatting sqref="F5:F36">
    <cfRule type="expression" dxfId="7991" priority="68">
      <formula>COUNTIF(E5,"a")</formula>
    </cfRule>
    <cfRule type="expression" dxfId="7990" priority="69">
      <formula>COUNTIF(E5,"9")</formula>
    </cfRule>
    <cfRule type="expression" dxfId="7989" priority="70">
      <formula>COUNTIF(E5,"k")</formula>
    </cfRule>
    <cfRule type="expression" dxfId="7988" priority="71">
      <formula>COUNTIF(E5,"u")</formula>
    </cfRule>
    <cfRule type="expression" dxfId="7987" priority="72">
      <formula>COUNTIF(E5,"f")</formula>
    </cfRule>
    <cfRule type="expression" dxfId="7986" priority="73">
      <formula>COUNTIF(E5,"8")</formula>
    </cfRule>
    <cfRule type="expression" dxfId="7985" priority="74">
      <formula>COUNTIF(E5,"7")</formula>
    </cfRule>
    <cfRule type="expression" dxfId="7984" priority="75">
      <formula>COUNTIF(E5,"3")</formula>
    </cfRule>
    <cfRule type="expression" dxfId="7983" priority="77">
      <formula>COUNTIF(E5,"5")</formula>
    </cfRule>
    <cfRule type="expression" dxfId="7982" priority="78">
      <formula>COUNTIF(E5,"2")</formula>
    </cfRule>
    <cfRule type="expression" dxfId="7981" priority="79">
      <formula>COUNTIF(E5,"4")</formula>
    </cfRule>
    <cfRule type="expression" dxfId="7980" priority="80">
      <formula>COUNTIF(E5,"1")</formula>
    </cfRule>
  </conditionalFormatting>
  <conditionalFormatting sqref="F5:F36">
    <cfRule type="expression" dxfId="7979" priority="76">
      <formula>COUNTIF(E5,"6")</formula>
    </cfRule>
  </conditionalFormatting>
  <conditionalFormatting sqref="I5:I36">
    <cfRule type="expression" dxfId="7978" priority="55">
      <formula>COUNTIF(H5,"a")</formula>
    </cfRule>
    <cfRule type="expression" dxfId="7977" priority="56">
      <formula>COUNTIF(H5,"9")</formula>
    </cfRule>
    <cfRule type="expression" dxfId="7976" priority="57">
      <formula>COUNTIF(H5,"k")</formula>
    </cfRule>
    <cfRule type="expression" dxfId="7975" priority="58">
      <formula>COUNTIF(H5,"u")</formula>
    </cfRule>
    <cfRule type="expression" dxfId="7974" priority="59">
      <formula>COUNTIF(H5,"f")</formula>
    </cfRule>
    <cfRule type="expression" dxfId="7973" priority="60">
      <formula>COUNTIF(H5,"8")</formula>
    </cfRule>
    <cfRule type="expression" dxfId="7972" priority="61">
      <formula>COUNTIF(H5,"7")</formula>
    </cfRule>
    <cfRule type="expression" dxfId="7971" priority="62">
      <formula>COUNTIF(H5,"3")</formula>
    </cfRule>
    <cfRule type="expression" dxfId="7970" priority="64">
      <formula>COUNTIF(H5,"5")</formula>
    </cfRule>
    <cfRule type="expression" dxfId="7969" priority="65">
      <formula>COUNTIF(H5,"2")</formula>
    </cfRule>
    <cfRule type="expression" dxfId="7968" priority="66">
      <formula>COUNTIF(H5,"4")</formula>
    </cfRule>
    <cfRule type="expression" dxfId="7967" priority="67">
      <formula>COUNTIF(H5,"1")</formula>
    </cfRule>
  </conditionalFormatting>
  <conditionalFormatting sqref="I5:I36">
    <cfRule type="expression" dxfId="7966" priority="63">
      <formula>COUNTIF(H5,"6")</formula>
    </cfRule>
  </conditionalFormatting>
  <conditionalFormatting sqref="L5:L36">
    <cfRule type="expression" dxfId="7965" priority="42">
      <formula>COUNTIF(K5,"a")</formula>
    </cfRule>
    <cfRule type="expression" dxfId="7964" priority="43">
      <formula>COUNTIF(K5,"9")</formula>
    </cfRule>
    <cfRule type="expression" dxfId="7963" priority="44">
      <formula>COUNTIF(K5,"k")</formula>
    </cfRule>
    <cfRule type="expression" dxfId="7962" priority="45">
      <formula>COUNTIF(K5,"u")</formula>
    </cfRule>
    <cfRule type="expression" dxfId="7961" priority="46">
      <formula>COUNTIF(K5,"f")</formula>
    </cfRule>
    <cfRule type="expression" dxfId="7960" priority="47">
      <formula>COUNTIF(K5,"8")</formula>
    </cfRule>
    <cfRule type="expression" dxfId="7959" priority="48">
      <formula>COUNTIF(K5,"7")</formula>
    </cfRule>
    <cfRule type="expression" dxfId="7958" priority="49">
      <formula>COUNTIF(K5,"3")</formula>
    </cfRule>
    <cfRule type="expression" dxfId="7957" priority="51">
      <formula>COUNTIF(K5,"5")</formula>
    </cfRule>
    <cfRule type="expression" dxfId="7956" priority="52">
      <formula>COUNTIF(K5,"2")</formula>
    </cfRule>
    <cfRule type="expression" dxfId="7955" priority="53">
      <formula>COUNTIF(K5,"4")</formula>
    </cfRule>
    <cfRule type="expression" dxfId="7954" priority="54">
      <formula>COUNTIF(K5,"1")</formula>
    </cfRule>
  </conditionalFormatting>
  <conditionalFormatting sqref="L5:L36">
    <cfRule type="expression" dxfId="7953" priority="50">
      <formula>COUNTIF(K5,"6")</formula>
    </cfRule>
  </conditionalFormatting>
  <conditionalFormatting sqref="O5:O36">
    <cfRule type="expression" dxfId="7952" priority="29">
      <formula>COUNTIF(N5,"a")</formula>
    </cfRule>
    <cfRule type="expression" dxfId="7951" priority="30">
      <formula>COUNTIF(N5,"9")</formula>
    </cfRule>
    <cfRule type="expression" dxfId="7950" priority="31">
      <formula>COUNTIF(N5,"k")</formula>
    </cfRule>
    <cfRule type="expression" dxfId="7949" priority="32">
      <formula>COUNTIF(N5,"u")</formula>
    </cfRule>
    <cfRule type="expression" dxfId="7948" priority="33">
      <formula>COUNTIF(N5,"f")</formula>
    </cfRule>
    <cfRule type="expression" dxfId="7947" priority="34">
      <formula>COUNTIF(N5,"8")</formula>
    </cfRule>
    <cfRule type="expression" dxfId="7946" priority="35">
      <formula>COUNTIF(N5,"7")</formula>
    </cfRule>
    <cfRule type="expression" dxfId="7945" priority="36">
      <formula>COUNTIF(N5,"3")</formula>
    </cfRule>
    <cfRule type="expression" dxfId="7944" priority="38">
      <formula>COUNTIF(N5,"5")</formula>
    </cfRule>
    <cfRule type="expression" dxfId="7943" priority="39">
      <formula>COUNTIF(N5,"2")</formula>
    </cfRule>
    <cfRule type="expression" dxfId="7942" priority="40">
      <formula>COUNTIF(N5,"4")</formula>
    </cfRule>
    <cfRule type="expression" dxfId="7941" priority="41">
      <formula>COUNTIF(N5,"1")</formula>
    </cfRule>
  </conditionalFormatting>
  <conditionalFormatting sqref="O5:O36">
    <cfRule type="expression" dxfId="7940" priority="37">
      <formula>COUNTIF(N5,"6")</formula>
    </cfRule>
  </conditionalFormatting>
  <conditionalFormatting sqref="R5:R36">
    <cfRule type="expression" dxfId="7939" priority="16">
      <formula>COUNTIF(Q5,"a")</formula>
    </cfRule>
    <cfRule type="expression" dxfId="7938" priority="17">
      <formula>COUNTIF(Q5,"9")</formula>
    </cfRule>
    <cfRule type="expression" dxfId="7937" priority="18">
      <formula>COUNTIF(Q5,"k")</formula>
    </cfRule>
    <cfRule type="expression" dxfId="7936" priority="19">
      <formula>COUNTIF(Q5,"u")</formula>
    </cfRule>
    <cfRule type="expression" dxfId="7935" priority="20">
      <formula>COUNTIF(Q5,"f")</formula>
    </cfRule>
    <cfRule type="expression" dxfId="7934" priority="21">
      <formula>COUNTIF(Q5,"8")</formula>
    </cfRule>
    <cfRule type="expression" dxfId="7933" priority="22">
      <formula>COUNTIF(Q5,"7")</formula>
    </cfRule>
    <cfRule type="expression" dxfId="7932" priority="23">
      <formula>COUNTIF(Q5,"3")</formula>
    </cfRule>
    <cfRule type="expression" dxfId="7931" priority="25">
      <formula>COUNTIF(Q5,"5")</formula>
    </cfRule>
    <cfRule type="expression" dxfId="7930" priority="26">
      <formula>COUNTIF(Q5,"2")</formula>
    </cfRule>
    <cfRule type="expression" dxfId="7929" priority="27">
      <formula>COUNTIF(Q5,"4")</formula>
    </cfRule>
    <cfRule type="expression" dxfId="7928" priority="28">
      <formula>COUNTIF(Q5,"1")</formula>
    </cfRule>
  </conditionalFormatting>
  <conditionalFormatting sqref="R5:R36">
    <cfRule type="expression" dxfId="7927" priority="24">
      <formula>COUNTIF(Q5,"6")</formula>
    </cfRule>
  </conditionalFormatting>
  <conditionalFormatting sqref="U5:U36">
    <cfRule type="expression" dxfId="7926" priority="3">
      <formula>COUNTIF(T5,"a")</formula>
    </cfRule>
    <cfRule type="expression" dxfId="7925" priority="4">
      <formula>COUNTIF(T5,"9")</formula>
    </cfRule>
    <cfRule type="expression" dxfId="7924" priority="5">
      <formula>COUNTIF(T5,"k")</formula>
    </cfRule>
    <cfRule type="expression" dxfId="7923" priority="6">
      <formula>COUNTIF(T5,"u")</formula>
    </cfRule>
    <cfRule type="expression" dxfId="7922" priority="7">
      <formula>COUNTIF(T5,"f")</formula>
    </cfRule>
    <cfRule type="expression" dxfId="7921" priority="8">
      <formula>COUNTIF(T5,"8")</formula>
    </cfRule>
    <cfRule type="expression" dxfId="7920" priority="9">
      <formula>COUNTIF(T5,"7")</formula>
    </cfRule>
    <cfRule type="expression" dxfId="7919" priority="10">
      <formula>COUNTIF(T5,"3")</formula>
    </cfRule>
    <cfRule type="expression" dxfId="7918" priority="12">
      <formula>COUNTIF(T5,"5")</formula>
    </cfRule>
    <cfRule type="expression" dxfId="7917" priority="13">
      <formula>COUNTIF(T5,"2")</formula>
    </cfRule>
    <cfRule type="expression" dxfId="7916" priority="14">
      <formula>COUNTIF(T5,"4")</formula>
    </cfRule>
    <cfRule type="expression" dxfId="7915" priority="15">
      <formula>COUNTIF(T5,"1")</formula>
    </cfRule>
  </conditionalFormatting>
  <conditionalFormatting sqref="U5:U36">
    <cfRule type="expression" dxfId="7914" priority="11">
      <formula>COUNTIF(T5,"6")</formula>
    </cfRule>
  </conditionalFormatting>
  <conditionalFormatting sqref="V32">
    <cfRule type="cellIs" dxfId="7913" priority="1" operator="lessThan">
      <formula>0</formula>
    </cfRule>
    <cfRule type="cellIs" dxfId="791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A8387628-C1DE-DE47-B220-A5FDD018A28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72E0-0CDE-FE4B-93FC-F8943D99EE6B}">
  <sheetPr codeName="Tabelle5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11</v>
      </c>
      <c r="Q1" s="176"/>
      <c r="R1" s="79">
        <f>DATE(V1,1,7*P1-3-WEEKDAY(DATE(V1,,),3))</f>
        <v>45362</v>
      </c>
      <c r="S1" s="80" t="s">
        <v>1</v>
      </c>
      <c r="T1" s="177">
        <f>DATE(V1,1,7*P1+3-WEEKDAY(DATE(V1,,),3))</f>
        <v>45368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45362</v>
      </c>
      <c r="B2" s="178"/>
      <c r="C2" s="178"/>
      <c r="D2" s="178">
        <f>A2+1</f>
        <v>45363</v>
      </c>
      <c r="E2" s="179"/>
      <c r="F2" s="179"/>
      <c r="G2" s="178">
        <f>D2+1</f>
        <v>45364</v>
      </c>
      <c r="H2" s="179"/>
      <c r="I2" s="179"/>
      <c r="J2" s="178">
        <f>G2+1</f>
        <v>45365</v>
      </c>
      <c r="K2" s="179"/>
      <c r="L2" s="179"/>
      <c r="M2" s="178">
        <f>J2+1</f>
        <v>45366</v>
      </c>
      <c r="N2" s="179"/>
      <c r="O2" s="179"/>
      <c r="P2" s="178">
        <f>M2+1</f>
        <v>45367</v>
      </c>
      <c r="Q2" s="179"/>
      <c r="R2" s="179"/>
      <c r="S2" s="178">
        <f>P2+1</f>
        <v>45368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45362</v>
      </c>
      <c r="B3" s="168"/>
      <c r="C3" s="168"/>
      <c r="D3" s="168">
        <f>A3+1</f>
        <v>45363</v>
      </c>
      <c r="E3" s="168"/>
      <c r="F3" s="168"/>
      <c r="G3" s="168">
        <f>D3+1</f>
        <v>45364</v>
      </c>
      <c r="H3" s="168"/>
      <c r="I3" s="168"/>
      <c r="J3" s="168">
        <f>G3+1</f>
        <v>45365</v>
      </c>
      <c r="K3" s="168"/>
      <c r="L3" s="168"/>
      <c r="M3" s="168">
        <f>J3+1</f>
        <v>45366</v>
      </c>
      <c r="N3" s="168"/>
      <c r="O3" s="168"/>
      <c r="P3" s="168">
        <f>M3+1</f>
        <v>45367</v>
      </c>
      <c r="Q3" s="168"/>
      <c r="R3" s="168"/>
      <c r="S3" s="168">
        <f>P3+1</f>
        <v>45368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45362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45363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45364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45365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45366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45367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45368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10'!V32</f>
        <v>-400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-440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911" priority="159">
      <formula>COUNTIF(B5,"a")</formula>
    </cfRule>
    <cfRule type="expression" dxfId="7910" priority="161">
      <formula>COUNTIF(B5,"9")</formula>
    </cfRule>
    <cfRule type="expression" dxfId="7909" priority="163">
      <formula>COUNTIF(B5,"k")</formula>
    </cfRule>
    <cfRule type="expression" dxfId="7908" priority="164">
      <formula>COUNTIF(B5,"u")</formula>
    </cfRule>
    <cfRule type="expression" dxfId="7907" priority="167">
      <formula>COUNTIF(B5,"f")</formula>
    </cfRule>
    <cfRule type="expression" dxfId="7906" priority="168">
      <formula>COUNTIF(B5,"8")</formula>
    </cfRule>
    <cfRule type="expression" dxfId="7905" priority="169">
      <formula>COUNTIF(B5,"7")</formula>
    </cfRule>
    <cfRule type="expression" dxfId="7904" priority="170">
      <formula>COUNTIF(B5,"3")</formula>
    </cfRule>
    <cfRule type="expression" dxfId="7903" priority="181">
      <formula>COUNTIF(B5,"5")</formula>
    </cfRule>
    <cfRule type="expression" dxfId="7902" priority="182">
      <formula>COUNTIF(B5,"2")</formula>
    </cfRule>
    <cfRule type="expression" dxfId="7901" priority="183">
      <formula>COUNTIF(B5,"4")</formula>
    </cfRule>
    <cfRule type="expression" dxfId="7900" priority="184">
      <formula>COUNTIF(B5,"1")</formula>
    </cfRule>
  </conditionalFormatting>
  <conditionalFormatting sqref="B5:B36">
    <cfRule type="cellIs" dxfId="7899" priority="160" operator="equal">
      <formula>"a"</formula>
    </cfRule>
    <cfRule type="cellIs" dxfId="7898" priority="162" operator="equal">
      <formula>"k"</formula>
    </cfRule>
    <cfRule type="cellIs" dxfId="7897" priority="165" operator="equal">
      <formula>"u"</formula>
    </cfRule>
    <cfRule type="cellIs" dxfId="7896" priority="166" operator="equal">
      <formula>"f"</formula>
    </cfRule>
    <cfRule type="cellIs" dxfId="7895" priority="171" operator="equal">
      <formula>9</formula>
    </cfRule>
    <cfRule type="cellIs" dxfId="7894" priority="172" operator="equal">
      <formula>8</formula>
    </cfRule>
    <cfRule type="cellIs" dxfId="7893" priority="173" operator="equal">
      <formula>5</formula>
    </cfRule>
    <cfRule type="cellIs" dxfId="7892" priority="174" operator="equal">
      <formula>3</formula>
    </cfRule>
    <cfRule type="cellIs" dxfId="7891" priority="176" operator="equal">
      <formula>6</formula>
    </cfRule>
    <cfRule type="cellIs" dxfId="7890" priority="177" operator="equal">
      <formula>4</formula>
    </cfRule>
    <cfRule type="cellIs" dxfId="7889" priority="178" operator="equal">
      <formula>2</formula>
    </cfRule>
    <cfRule type="cellIs" dxfId="7888" priority="179" operator="equal">
      <formula>7</formula>
    </cfRule>
    <cfRule type="cellIs" dxfId="7887" priority="180" operator="equal">
      <formula>1</formula>
    </cfRule>
  </conditionalFormatting>
  <conditionalFormatting sqref="C5:C36">
    <cfRule type="expression" dxfId="7886" priority="175">
      <formula>COUNTIF(B5,"6")</formula>
    </cfRule>
  </conditionalFormatting>
  <conditionalFormatting sqref="E5:E36">
    <cfRule type="cellIs" dxfId="7885" priority="146" operator="equal">
      <formula>"a"</formula>
    </cfRule>
    <cfRule type="cellIs" dxfId="7884" priority="147" operator="equal">
      <formula>"k"</formula>
    </cfRule>
    <cfRule type="cellIs" dxfId="7883" priority="148" operator="equal">
      <formula>"u"</formula>
    </cfRule>
    <cfRule type="cellIs" dxfId="7882" priority="149" operator="equal">
      <formula>"f"</formula>
    </cfRule>
    <cfRule type="cellIs" dxfId="7881" priority="150" operator="equal">
      <formula>9</formula>
    </cfRule>
    <cfRule type="cellIs" dxfId="7880" priority="151" operator="equal">
      <formula>8</formula>
    </cfRule>
    <cfRule type="cellIs" dxfId="7879" priority="152" operator="equal">
      <formula>5</formula>
    </cfRule>
    <cfRule type="cellIs" dxfId="7878" priority="153" operator="equal">
      <formula>3</formula>
    </cfRule>
    <cfRule type="cellIs" dxfId="7877" priority="154" operator="equal">
      <formula>6</formula>
    </cfRule>
    <cfRule type="cellIs" dxfId="7876" priority="155" operator="equal">
      <formula>4</formula>
    </cfRule>
    <cfRule type="cellIs" dxfId="7875" priority="156" operator="equal">
      <formula>2</formula>
    </cfRule>
    <cfRule type="cellIs" dxfId="7874" priority="157" operator="equal">
      <formula>7</formula>
    </cfRule>
    <cfRule type="cellIs" dxfId="7873" priority="158" operator="equal">
      <formula>1</formula>
    </cfRule>
  </conditionalFormatting>
  <conditionalFormatting sqref="H5:H36">
    <cfRule type="cellIs" dxfId="7872" priority="133" operator="equal">
      <formula>"a"</formula>
    </cfRule>
    <cfRule type="cellIs" dxfId="7871" priority="134" operator="equal">
      <formula>"k"</formula>
    </cfRule>
    <cfRule type="cellIs" dxfId="7870" priority="135" operator="equal">
      <formula>"u"</formula>
    </cfRule>
    <cfRule type="cellIs" dxfId="7869" priority="136" operator="equal">
      <formula>"f"</formula>
    </cfRule>
    <cfRule type="cellIs" dxfId="7868" priority="137" operator="equal">
      <formula>9</formula>
    </cfRule>
    <cfRule type="cellIs" dxfId="7867" priority="138" operator="equal">
      <formula>8</formula>
    </cfRule>
    <cfRule type="cellIs" dxfId="7866" priority="139" operator="equal">
      <formula>5</formula>
    </cfRule>
    <cfRule type="cellIs" dxfId="7865" priority="140" operator="equal">
      <formula>3</formula>
    </cfRule>
    <cfRule type="cellIs" dxfId="7864" priority="141" operator="equal">
      <formula>6</formula>
    </cfRule>
    <cfRule type="cellIs" dxfId="7863" priority="142" operator="equal">
      <formula>4</formula>
    </cfRule>
    <cfRule type="cellIs" dxfId="7862" priority="143" operator="equal">
      <formula>2</formula>
    </cfRule>
    <cfRule type="cellIs" dxfId="7861" priority="144" operator="equal">
      <formula>7</formula>
    </cfRule>
    <cfRule type="cellIs" dxfId="7860" priority="145" operator="equal">
      <formula>1</formula>
    </cfRule>
  </conditionalFormatting>
  <conditionalFormatting sqref="K5:K36">
    <cfRule type="cellIs" dxfId="7859" priority="120" operator="equal">
      <formula>"a"</formula>
    </cfRule>
    <cfRule type="cellIs" dxfId="7858" priority="121" operator="equal">
      <formula>"k"</formula>
    </cfRule>
    <cfRule type="cellIs" dxfId="7857" priority="122" operator="equal">
      <formula>"u"</formula>
    </cfRule>
    <cfRule type="cellIs" dxfId="7856" priority="123" operator="equal">
      <formula>"f"</formula>
    </cfRule>
    <cfRule type="cellIs" dxfId="7855" priority="124" operator="equal">
      <formula>9</formula>
    </cfRule>
    <cfRule type="cellIs" dxfId="7854" priority="125" operator="equal">
      <formula>8</formula>
    </cfRule>
    <cfRule type="cellIs" dxfId="7853" priority="126" operator="equal">
      <formula>5</formula>
    </cfRule>
    <cfRule type="cellIs" dxfId="7852" priority="127" operator="equal">
      <formula>3</formula>
    </cfRule>
    <cfRule type="cellIs" dxfId="7851" priority="128" operator="equal">
      <formula>6</formula>
    </cfRule>
    <cfRule type="cellIs" dxfId="7850" priority="129" operator="equal">
      <formula>4</formula>
    </cfRule>
    <cfRule type="cellIs" dxfId="7849" priority="130" operator="equal">
      <formula>2</formula>
    </cfRule>
    <cfRule type="cellIs" dxfId="7848" priority="131" operator="equal">
      <formula>7</formula>
    </cfRule>
    <cfRule type="cellIs" dxfId="7847" priority="132" operator="equal">
      <formula>1</formula>
    </cfRule>
  </conditionalFormatting>
  <conditionalFormatting sqref="N5:N36">
    <cfRule type="cellIs" dxfId="7846" priority="107" operator="equal">
      <formula>"a"</formula>
    </cfRule>
    <cfRule type="cellIs" dxfId="7845" priority="108" operator="equal">
      <formula>"k"</formula>
    </cfRule>
    <cfRule type="cellIs" dxfId="7844" priority="109" operator="equal">
      <formula>"u"</formula>
    </cfRule>
    <cfRule type="cellIs" dxfId="7843" priority="110" operator="equal">
      <formula>"f"</formula>
    </cfRule>
    <cfRule type="cellIs" dxfId="7842" priority="111" operator="equal">
      <formula>9</formula>
    </cfRule>
    <cfRule type="cellIs" dxfId="7841" priority="112" operator="equal">
      <formula>8</formula>
    </cfRule>
    <cfRule type="cellIs" dxfId="7840" priority="113" operator="equal">
      <formula>5</formula>
    </cfRule>
    <cfRule type="cellIs" dxfId="7839" priority="114" operator="equal">
      <formula>3</formula>
    </cfRule>
    <cfRule type="cellIs" dxfId="7838" priority="115" operator="equal">
      <formula>6</formula>
    </cfRule>
    <cfRule type="cellIs" dxfId="7837" priority="116" operator="equal">
      <formula>4</formula>
    </cfRule>
    <cfRule type="cellIs" dxfId="7836" priority="117" operator="equal">
      <formula>2</formula>
    </cfRule>
    <cfRule type="cellIs" dxfId="7835" priority="118" operator="equal">
      <formula>7</formula>
    </cfRule>
    <cfRule type="cellIs" dxfId="7834" priority="119" operator="equal">
      <formula>1</formula>
    </cfRule>
  </conditionalFormatting>
  <conditionalFormatting sqref="Q5:Q36">
    <cfRule type="cellIs" dxfId="7833" priority="94" operator="equal">
      <formula>"a"</formula>
    </cfRule>
    <cfRule type="cellIs" dxfId="7832" priority="95" operator="equal">
      <formula>"k"</formula>
    </cfRule>
    <cfRule type="cellIs" dxfId="7831" priority="96" operator="equal">
      <formula>"u"</formula>
    </cfRule>
    <cfRule type="cellIs" dxfId="7830" priority="97" operator="equal">
      <formula>"f"</formula>
    </cfRule>
    <cfRule type="cellIs" dxfId="7829" priority="98" operator="equal">
      <formula>9</formula>
    </cfRule>
    <cfRule type="cellIs" dxfId="7828" priority="99" operator="equal">
      <formula>8</formula>
    </cfRule>
    <cfRule type="cellIs" dxfId="7827" priority="100" operator="equal">
      <formula>5</formula>
    </cfRule>
    <cfRule type="cellIs" dxfId="7826" priority="101" operator="equal">
      <formula>3</formula>
    </cfRule>
    <cfRule type="cellIs" dxfId="7825" priority="102" operator="equal">
      <formula>6</formula>
    </cfRule>
    <cfRule type="cellIs" dxfId="7824" priority="103" operator="equal">
      <formula>4</formula>
    </cfRule>
    <cfRule type="cellIs" dxfId="7823" priority="104" operator="equal">
      <formula>2</formula>
    </cfRule>
    <cfRule type="cellIs" dxfId="7822" priority="105" operator="equal">
      <formula>7</formula>
    </cfRule>
    <cfRule type="cellIs" dxfId="7821" priority="106" operator="equal">
      <formula>1</formula>
    </cfRule>
  </conditionalFormatting>
  <conditionalFormatting sqref="T5:T36">
    <cfRule type="cellIs" dxfId="7820" priority="81" operator="equal">
      <formula>"a"</formula>
    </cfRule>
    <cfRule type="cellIs" dxfId="7819" priority="82" operator="equal">
      <formula>"k"</formula>
    </cfRule>
    <cfRule type="cellIs" dxfId="7818" priority="83" operator="equal">
      <formula>"u"</formula>
    </cfRule>
    <cfRule type="cellIs" dxfId="7817" priority="84" operator="equal">
      <formula>"f"</formula>
    </cfRule>
    <cfRule type="cellIs" dxfId="7816" priority="85" operator="equal">
      <formula>9</formula>
    </cfRule>
    <cfRule type="cellIs" dxfId="7815" priority="86" operator="equal">
      <formula>8</formula>
    </cfRule>
    <cfRule type="cellIs" dxfId="7814" priority="87" operator="equal">
      <formula>5</formula>
    </cfRule>
    <cfRule type="cellIs" dxfId="7813" priority="88" operator="equal">
      <formula>3</formula>
    </cfRule>
    <cfRule type="cellIs" dxfId="7812" priority="89" operator="equal">
      <formula>6</formula>
    </cfRule>
    <cfRule type="cellIs" dxfId="7811" priority="90" operator="equal">
      <formula>4</formula>
    </cfRule>
    <cfRule type="cellIs" dxfId="7810" priority="91" operator="equal">
      <formula>2</formula>
    </cfRule>
    <cfRule type="cellIs" dxfId="7809" priority="92" operator="equal">
      <formula>7</formula>
    </cfRule>
    <cfRule type="cellIs" dxfId="7808" priority="93" operator="equal">
      <formula>1</formula>
    </cfRule>
  </conditionalFormatting>
  <conditionalFormatting sqref="F5:F36">
    <cfRule type="expression" dxfId="7807" priority="68">
      <formula>COUNTIF(E5,"a")</formula>
    </cfRule>
    <cfRule type="expression" dxfId="7806" priority="69">
      <formula>COUNTIF(E5,"9")</formula>
    </cfRule>
    <cfRule type="expression" dxfId="7805" priority="70">
      <formula>COUNTIF(E5,"k")</formula>
    </cfRule>
    <cfRule type="expression" dxfId="7804" priority="71">
      <formula>COUNTIF(E5,"u")</formula>
    </cfRule>
    <cfRule type="expression" dxfId="7803" priority="72">
      <formula>COUNTIF(E5,"f")</formula>
    </cfRule>
    <cfRule type="expression" dxfId="7802" priority="73">
      <formula>COUNTIF(E5,"8")</formula>
    </cfRule>
    <cfRule type="expression" dxfId="7801" priority="74">
      <formula>COUNTIF(E5,"7")</formula>
    </cfRule>
    <cfRule type="expression" dxfId="7800" priority="75">
      <formula>COUNTIF(E5,"3")</formula>
    </cfRule>
    <cfRule type="expression" dxfId="7799" priority="77">
      <formula>COUNTIF(E5,"5")</formula>
    </cfRule>
    <cfRule type="expression" dxfId="7798" priority="78">
      <formula>COUNTIF(E5,"2")</formula>
    </cfRule>
    <cfRule type="expression" dxfId="7797" priority="79">
      <formula>COUNTIF(E5,"4")</formula>
    </cfRule>
    <cfRule type="expression" dxfId="7796" priority="80">
      <formula>COUNTIF(E5,"1")</formula>
    </cfRule>
  </conditionalFormatting>
  <conditionalFormatting sqref="F5:F36">
    <cfRule type="expression" dxfId="7795" priority="76">
      <formula>COUNTIF(E5,"6")</formula>
    </cfRule>
  </conditionalFormatting>
  <conditionalFormatting sqref="I5:I36">
    <cfRule type="expression" dxfId="7794" priority="55">
      <formula>COUNTIF(H5,"a")</formula>
    </cfRule>
    <cfRule type="expression" dxfId="7793" priority="56">
      <formula>COUNTIF(H5,"9")</formula>
    </cfRule>
    <cfRule type="expression" dxfId="7792" priority="57">
      <formula>COUNTIF(H5,"k")</formula>
    </cfRule>
    <cfRule type="expression" dxfId="7791" priority="58">
      <formula>COUNTIF(H5,"u")</formula>
    </cfRule>
    <cfRule type="expression" dxfId="7790" priority="59">
      <formula>COUNTIF(H5,"f")</formula>
    </cfRule>
    <cfRule type="expression" dxfId="7789" priority="60">
      <formula>COUNTIF(H5,"8")</formula>
    </cfRule>
    <cfRule type="expression" dxfId="7788" priority="61">
      <formula>COUNTIF(H5,"7")</formula>
    </cfRule>
    <cfRule type="expression" dxfId="7787" priority="62">
      <formula>COUNTIF(H5,"3")</formula>
    </cfRule>
    <cfRule type="expression" dxfId="7786" priority="64">
      <formula>COUNTIF(H5,"5")</formula>
    </cfRule>
    <cfRule type="expression" dxfId="7785" priority="65">
      <formula>COUNTIF(H5,"2")</formula>
    </cfRule>
    <cfRule type="expression" dxfId="7784" priority="66">
      <formula>COUNTIF(H5,"4")</formula>
    </cfRule>
    <cfRule type="expression" dxfId="7783" priority="67">
      <formula>COUNTIF(H5,"1")</formula>
    </cfRule>
  </conditionalFormatting>
  <conditionalFormatting sqref="I5:I36">
    <cfRule type="expression" dxfId="7782" priority="63">
      <formula>COUNTIF(H5,"6")</formula>
    </cfRule>
  </conditionalFormatting>
  <conditionalFormatting sqref="L5:L36">
    <cfRule type="expression" dxfId="7781" priority="42">
      <formula>COUNTIF(K5,"a")</formula>
    </cfRule>
    <cfRule type="expression" dxfId="7780" priority="43">
      <formula>COUNTIF(K5,"9")</formula>
    </cfRule>
    <cfRule type="expression" dxfId="7779" priority="44">
      <formula>COUNTIF(K5,"k")</formula>
    </cfRule>
    <cfRule type="expression" dxfId="7778" priority="45">
      <formula>COUNTIF(K5,"u")</formula>
    </cfRule>
    <cfRule type="expression" dxfId="7777" priority="46">
      <formula>COUNTIF(K5,"f")</formula>
    </cfRule>
    <cfRule type="expression" dxfId="7776" priority="47">
      <formula>COUNTIF(K5,"8")</formula>
    </cfRule>
    <cfRule type="expression" dxfId="7775" priority="48">
      <formula>COUNTIF(K5,"7")</formula>
    </cfRule>
    <cfRule type="expression" dxfId="7774" priority="49">
      <formula>COUNTIF(K5,"3")</formula>
    </cfRule>
    <cfRule type="expression" dxfId="7773" priority="51">
      <formula>COUNTIF(K5,"5")</formula>
    </cfRule>
    <cfRule type="expression" dxfId="7772" priority="52">
      <formula>COUNTIF(K5,"2")</formula>
    </cfRule>
    <cfRule type="expression" dxfId="7771" priority="53">
      <formula>COUNTIF(K5,"4")</formula>
    </cfRule>
    <cfRule type="expression" dxfId="7770" priority="54">
      <formula>COUNTIF(K5,"1")</formula>
    </cfRule>
  </conditionalFormatting>
  <conditionalFormatting sqref="L5:L36">
    <cfRule type="expression" dxfId="7769" priority="50">
      <formula>COUNTIF(K5,"6")</formula>
    </cfRule>
  </conditionalFormatting>
  <conditionalFormatting sqref="O5:O36">
    <cfRule type="expression" dxfId="7768" priority="29">
      <formula>COUNTIF(N5,"a")</formula>
    </cfRule>
    <cfRule type="expression" dxfId="7767" priority="30">
      <formula>COUNTIF(N5,"9")</formula>
    </cfRule>
    <cfRule type="expression" dxfId="7766" priority="31">
      <formula>COUNTIF(N5,"k")</formula>
    </cfRule>
    <cfRule type="expression" dxfId="7765" priority="32">
      <formula>COUNTIF(N5,"u")</formula>
    </cfRule>
    <cfRule type="expression" dxfId="7764" priority="33">
      <formula>COUNTIF(N5,"f")</formula>
    </cfRule>
    <cfRule type="expression" dxfId="7763" priority="34">
      <formula>COUNTIF(N5,"8")</formula>
    </cfRule>
    <cfRule type="expression" dxfId="7762" priority="35">
      <formula>COUNTIF(N5,"7")</formula>
    </cfRule>
    <cfRule type="expression" dxfId="7761" priority="36">
      <formula>COUNTIF(N5,"3")</formula>
    </cfRule>
    <cfRule type="expression" dxfId="7760" priority="38">
      <formula>COUNTIF(N5,"5")</formula>
    </cfRule>
    <cfRule type="expression" dxfId="7759" priority="39">
      <formula>COUNTIF(N5,"2")</formula>
    </cfRule>
    <cfRule type="expression" dxfId="7758" priority="40">
      <formula>COUNTIF(N5,"4")</formula>
    </cfRule>
    <cfRule type="expression" dxfId="7757" priority="41">
      <formula>COUNTIF(N5,"1")</formula>
    </cfRule>
  </conditionalFormatting>
  <conditionalFormatting sqref="O5:O36">
    <cfRule type="expression" dxfId="7756" priority="37">
      <formula>COUNTIF(N5,"6")</formula>
    </cfRule>
  </conditionalFormatting>
  <conditionalFormatting sqref="R5:R36">
    <cfRule type="expression" dxfId="7755" priority="16">
      <formula>COUNTIF(Q5,"a")</formula>
    </cfRule>
    <cfRule type="expression" dxfId="7754" priority="17">
      <formula>COUNTIF(Q5,"9")</formula>
    </cfRule>
    <cfRule type="expression" dxfId="7753" priority="18">
      <formula>COUNTIF(Q5,"k")</formula>
    </cfRule>
    <cfRule type="expression" dxfId="7752" priority="19">
      <formula>COUNTIF(Q5,"u")</formula>
    </cfRule>
    <cfRule type="expression" dxfId="7751" priority="20">
      <formula>COUNTIF(Q5,"f")</formula>
    </cfRule>
    <cfRule type="expression" dxfId="7750" priority="21">
      <formula>COUNTIF(Q5,"8")</formula>
    </cfRule>
    <cfRule type="expression" dxfId="7749" priority="22">
      <formula>COUNTIF(Q5,"7")</formula>
    </cfRule>
    <cfRule type="expression" dxfId="7748" priority="23">
      <formula>COUNTIF(Q5,"3")</formula>
    </cfRule>
    <cfRule type="expression" dxfId="7747" priority="25">
      <formula>COUNTIF(Q5,"5")</formula>
    </cfRule>
    <cfRule type="expression" dxfId="7746" priority="26">
      <formula>COUNTIF(Q5,"2")</formula>
    </cfRule>
    <cfRule type="expression" dxfId="7745" priority="27">
      <formula>COUNTIF(Q5,"4")</formula>
    </cfRule>
    <cfRule type="expression" dxfId="7744" priority="28">
      <formula>COUNTIF(Q5,"1")</formula>
    </cfRule>
  </conditionalFormatting>
  <conditionalFormatting sqref="R5:R36">
    <cfRule type="expression" dxfId="7743" priority="24">
      <formula>COUNTIF(Q5,"6")</formula>
    </cfRule>
  </conditionalFormatting>
  <conditionalFormatting sqref="U5:U36">
    <cfRule type="expression" dxfId="7742" priority="3">
      <formula>COUNTIF(T5,"a")</formula>
    </cfRule>
    <cfRule type="expression" dxfId="7741" priority="4">
      <formula>COUNTIF(T5,"9")</formula>
    </cfRule>
    <cfRule type="expression" dxfId="7740" priority="5">
      <formula>COUNTIF(T5,"k")</formula>
    </cfRule>
    <cfRule type="expression" dxfId="7739" priority="6">
      <formula>COUNTIF(T5,"u")</formula>
    </cfRule>
    <cfRule type="expression" dxfId="7738" priority="7">
      <formula>COUNTIF(T5,"f")</formula>
    </cfRule>
    <cfRule type="expression" dxfId="7737" priority="8">
      <formula>COUNTIF(T5,"8")</formula>
    </cfRule>
    <cfRule type="expression" dxfId="7736" priority="9">
      <formula>COUNTIF(T5,"7")</formula>
    </cfRule>
    <cfRule type="expression" dxfId="7735" priority="10">
      <formula>COUNTIF(T5,"3")</formula>
    </cfRule>
    <cfRule type="expression" dxfId="7734" priority="12">
      <formula>COUNTIF(T5,"5")</formula>
    </cfRule>
    <cfRule type="expression" dxfId="7733" priority="13">
      <formula>COUNTIF(T5,"2")</formula>
    </cfRule>
    <cfRule type="expression" dxfId="7732" priority="14">
      <formula>COUNTIF(T5,"4")</formula>
    </cfRule>
    <cfRule type="expression" dxfId="7731" priority="15">
      <formula>COUNTIF(T5,"1")</formula>
    </cfRule>
  </conditionalFormatting>
  <conditionalFormatting sqref="U5:U36">
    <cfRule type="expression" dxfId="7730" priority="11">
      <formula>COUNTIF(T5,"6")</formula>
    </cfRule>
  </conditionalFormatting>
  <conditionalFormatting sqref="V32">
    <cfRule type="cellIs" dxfId="7729" priority="1" operator="lessThan">
      <formula>0</formula>
    </cfRule>
    <cfRule type="cellIs" dxfId="772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FAF4249A-3EEC-6548-AE4A-E57D5F879F6F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09CB-250E-674D-9B81-22E8257EC1FD}">
  <sheetPr codeName="Tabelle5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12</v>
      </c>
      <c r="Q1" s="176"/>
      <c r="R1" s="79">
        <f>DATE(V1,1,7*P1-3-WEEKDAY(DATE(V1,,),3))</f>
        <v>45369</v>
      </c>
      <c r="S1" s="80" t="s">
        <v>1</v>
      </c>
      <c r="T1" s="177">
        <f>DATE(V1,1,7*P1+3-WEEKDAY(DATE(V1,,),3))</f>
        <v>45375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45369</v>
      </c>
      <c r="B2" s="178"/>
      <c r="C2" s="178"/>
      <c r="D2" s="178">
        <f>A2+1</f>
        <v>45370</v>
      </c>
      <c r="E2" s="179"/>
      <c r="F2" s="179"/>
      <c r="G2" s="178">
        <f>D2+1</f>
        <v>45371</v>
      </c>
      <c r="H2" s="179"/>
      <c r="I2" s="179"/>
      <c r="J2" s="178">
        <f>G2+1</f>
        <v>45372</v>
      </c>
      <c r="K2" s="179"/>
      <c r="L2" s="179"/>
      <c r="M2" s="178">
        <f>J2+1</f>
        <v>45373</v>
      </c>
      <c r="N2" s="179"/>
      <c r="O2" s="179"/>
      <c r="P2" s="178">
        <f>M2+1</f>
        <v>45374</v>
      </c>
      <c r="Q2" s="179"/>
      <c r="R2" s="179"/>
      <c r="S2" s="178">
        <f>P2+1</f>
        <v>45375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45369</v>
      </c>
      <c r="B3" s="168"/>
      <c r="C3" s="168"/>
      <c r="D3" s="168">
        <f>A3+1</f>
        <v>45370</v>
      </c>
      <c r="E3" s="168"/>
      <c r="F3" s="168"/>
      <c r="G3" s="168">
        <f>D3+1</f>
        <v>45371</v>
      </c>
      <c r="H3" s="168"/>
      <c r="I3" s="168"/>
      <c r="J3" s="168">
        <f>G3+1</f>
        <v>45372</v>
      </c>
      <c r="K3" s="168"/>
      <c r="L3" s="168"/>
      <c r="M3" s="168">
        <f>J3+1</f>
        <v>45373</v>
      </c>
      <c r="N3" s="168"/>
      <c r="O3" s="168"/>
      <c r="P3" s="168">
        <f>M3+1</f>
        <v>45374</v>
      </c>
      <c r="Q3" s="168"/>
      <c r="R3" s="168"/>
      <c r="S3" s="168">
        <f>P3+1</f>
        <v>45375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45369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45370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45371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45372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45373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45374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45375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11'!V32</f>
        <v>-440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-480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727" priority="159">
      <formula>COUNTIF(B5,"a")</formula>
    </cfRule>
    <cfRule type="expression" dxfId="7726" priority="161">
      <formula>COUNTIF(B5,"9")</formula>
    </cfRule>
    <cfRule type="expression" dxfId="7725" priority="163">
      <formula>COUNTIF(B5,"k")</formula>
    </cfRule>
    <cfRule type="expression" dxfId="7724" priority="164">
      <formula>COUNTIF(B5,"u")</formula>
    </cfRule>
    <cfRule type="expression" dxfId="7723" priority="167">
      <formula>COUNTIF(B5,"f")</formula>
    </cfRule>
    <cfRule type="expression" dxfId="7722" priority="168">
      <formula>COUNTIF(B5,"8")</formula>
    </cfRule>
    <cfRule type="expression" dxfId="7721" priority="169">
      <formula>COUNTIF(B5,"7")</formula>
    </cfRule>
    <cfRule type="expression" dxfId="7720" priority="170">
      <formula>COUNTIF(B5,"3")</formula>
    </cfRule>
    <cfRule type="expression" dxfId="7719" priority="181">
      <formula>COUNTIF(B5,"5")</formula>
    </cfRule>
    <cfRule type="expression" dxfId="7718" priority="182">
      <formula>COUNTIF(B5,"2")</formula>
    </cfRule>
    <cfRule type="expression" dxfId="7717" priority="183">
      <formula>COUNTIF(B5,"4")</formula>
    </cfRule>
    <cfRule type="expression" dxfId="7716" priority="184">
      <formula>COUNTIF(B5,"1")</formula>
    </cfRule>
  </conditionalFormatting>
  <conditionalFormatting sqref="B5:B36">
    <cfRule type="cellIs" dxfId="7715" priority="160" operator="equal">
      <formula>"a"</formula>
    </cfRule>
    <cfRule type="cellIs" dxfId="7714" priority="162" operator="equal">
      <formula>"k"</formula>
    </cfRule>
    <cfRule type="cellIs" dxfId="7713" priority="165" operator="equal">
      <formula>"u"</formula>
    </cfRule>
    <cfRule type="cellIs" dxfId="7712" priority="166" operator="equal">
      <formula>"f"</formula>
    </cfRule>
    <cfRule type="cellIs" dxfId="7711" priority="171" operator="equal">
      <formula>9</formula>
    </cfRule>
    <cfRule type="cellIs" dxfId="7710" priority="172" operator="equal">
      <formula>8</formula>
    </cfRule>
    <cfRule type="cellIs" dxfId="7709" priority="173" operator="equal">
      <formula>5</formula>
    </cfRule>
    <cfRule type="cellIs" dxfId="7708" priority="174" operator="equal">
      <formula>3</formula>
    </cfRule>
    <cfRule type="cellIs" dxfId="7707" priority="176" operator="equal">
      <formula>6</formula>
    </cfRule>
    <cfRule type="cellIs" dxfId="7706" priority="177" operator="equal">
      <formula>4</formula>
    </cfRule>
    <cfRule type="cellIs" dxfId="7705" priority="178" operator="equal">
      <formula>2</formula>
    </cfRule>
    <cfRule type="cellIs" dxfId="7704" priority="179" operator="equal">
      <formula>7</formula>
    </cfRule>
    <cfRule type="cellIs" dxfId="7703" priority="180" operator="equal">
      <formula>1</formula>
    </cfRule>
  </conditionalFormatting>
  <conditionalFormatting sqref="C5:C36">
    <cfRule type="expression" dxfId="7702" priority="175">
      <formula>COUNTIF(B5,"6")</formula>
    </cfRule>
  </conditionalFormatting>
  <conditionalFormatting sqref="E5:E36">
    <cfRule type="cellIs" dxfId="7701" priority="146" operator="equal">
      <formula>"a"</formula>
    </cfRule>
    <cfRule type="cellIs" dxfId="7700" priority="147" operator="equal">
      <formula>"k"</formula>
    </cfRule>
    <cfRule type="cellIs" dxfId="7699" priority="148" operator="equal">
      <formula>"u"</formula>
    </cfRule>
    <cfRule type="cellIs" dxfId="7698" priority="149" operator="equal">
      <formula>"f"</formula>
    </cfRule>
    <cfRule type="cellIs" dxfId="7697" priority="150" operator="equal">
      <formula>9</formula>
    </cfRule>
    <cfRule type="cellIs" dxfId="7696" priority="151" operator="equal">
      <formula>8</formula>
    </cfRule>
    <cfRule type="cellIs" dxfId="7695" priority="152" operator="equal">
      <formula>5</formula>
    </cfRule>
    <cfRule type="cellIs" dxfId="7694" priority="153" operator="equal">
      <formula>3</formula>
    </cfRule>
    <cfRule type="cellIs" dxfId="7693" priority="154" operator="equal">
      <formula>6</formula>
    </cfRule>
    <cfRule type="cellIs" dxfId="7692" priority="155" operator="equal">
      <formula>4</formula>
    </cfRule>
    <cfRule type="cellIs" dxfId="7691" priority="156" operator="equal">
      <formula>2</formula>
    </cfRule>
    <cfRule type="cellIs" dxfId="7690" priority="157" operator="equal">
      <formula>7</formula>
    </cfRule>
    <cfRule type="cellIs" dxfId="7689" priority="158" operator="equal">
      <formula>1</formula>
    </cfRule>
  </conditionalFormatting>
  <conditionalFormatting sqref="H5:H36">
    <cfRule type="cellIs" dxfId="7688" priority="133" operator="equal">
      <formula>"a"</formula>
    </cfRule>
    <cfRule type="cellIs" dxfId="7687" priority="134" operator="equal">
      <formula>"k"</formula>
    </cfRule>
    <cfRule type="cellIs" dxfId="7686" priority="135" operator="equal">
      <formula>"u"</formula>
    </cfRule>
    <cfRule type="cellIs" dxfId="7685" priority="136" operator="equal">
      <formula>"f"</formula>
    </cfRule>
    <cfRule type="cellIs" dxfId="7684" priority="137" operator="equal">
      <formula>9</formula>
    </cfRule>
    <cfRule type="cellIs" dxfId="7683" priority="138" operator="equal">
      <formula>8</formula>
    </cfRule>
    <cfRule type="cellIs" dxfId="7682" priority="139" operator="equal">
      <formula>5</formula>
    </cfRule>
    <cfRule type="cellIs" dxfId="7681" priority="140" operator="equal">
      <formula>3</formula>
    </cfRule>
    <cfRule type="cellIs" dxfId="7680" priority="141" operator="equal">
      <formula>6</formula>
    </cfRule>
    <cfRule type="cellIs" dxfId="7679" priority="142" operator="equal">
      <formula>4</formula>
    </cfRule>
    <cfRule type="cellIs" dxfId="7678" priority="143" operator="equal">
      <formula>2</formula>
    </cfRule>
    <cfRule type="cellIs" dxfId="7677" priority="144" operator="equal">
      <formula>7</formula>
    </cfRule>
    <cfRule type="cellIs" dxfId="7676" priority="145" operator="equal">
      <formula>1</formula>
    </cfRule>
  </conditionalFormatting>
  <conditionalFormatting sqref="K5:K36">
    <cfRule type="cellIs" dxfId="7675" priority="120" operator="equal">
      <formula>"a"</formula>
    </cfRule>
    <cfRule type="cellIs" dxfId="7674" priority="121" operator="equal">
      <formula>"k"</formula>
    </cfRule>
    <cfRule type="cellIs" dxfId="7673" priority="122" operator="equal">
      <formula>"u"</formula>
    </cfRule>
    <cfRule type="cellIs" dxfId="7672" priority="123" operator="equal">
      <formula>"f"</formula>
    </cfRule>
    <cfRule type="cellIs" dxfId="7671" priority="124" operator="equal">
      <formula>9</formula>
    </cfRule>
    <cfRule type="cellIs" dxfId="7670" priority="125" operator="equal">
      <formula>8</formula>
    </cfRule>
    <cfRule type="cellIs" dxfId="7669" priority="126" operator="equal">
      <formula>5</formula>
    </cfRule>
    <cfRule type="cellIs" dxfId="7668" priority="127" operator="equal">
      <formula>3</formula>
    </cfRule>
    <cfRule type="cellIs" dxfId="7667" priority="128" operator="equal">
      <formula>6</formula>
    </cfRule>
    <cfRule type="cellIs" dxfId="7666" priority="129" operator="equal">
      <formula>4</formula>
    </cfRule>
    <cfRule type="cellIs" dxfId="7665" priority="130" operator="equal">
      <formula>2</formula>
    </cfRule>
    <cfRule type="cellIs" dxfId="7664" priority="131" operator="equal">
      <formula>7</formula>
    </cfRule>
    <cfRule type="cellIs" dxfId="7663" priority="132" operator="equal">
      <formula>1</formula>
    </cfRule>
  </conditionalFormatting>
  <conditionalFormatting sqref="N5:N36">
    <cfRule type="cellIs" dxfId="7662" priority="107" operator="equal">
      <formula>"a"</formula>
    </cfRule>
    <cfRule type="cellIs" dxfId="7661" priority="108" operator="equal">
      <formula>"k"</formula>
    </cfRule>
    <cfRule type="cellIs" dxfId="7660" priority="109" operator="equal">
      <formula>"u"</formula>
    </cfRule>
    <cfRule type="cellIs" dxfId="7659" priority="110" operator="equal">
      <formula>"f"</formula>
    </cfRule>
    <cfRule type="cellIs" dxfId="7658" priority="111" operator="equal">
      <formula>9</formula>
    </cfRule>
    <cfRule type="cellIs" dxfId="7657" priority="112" operator="equal">
      <formula>8</formula>
    </cfRule>
    <cfRule type="cellIs" dxfId="7656" priority="113" operator="equal">
      <formula>5</formula>
    </cfRule>
    <cfRule type="cellIs" dxfId="7655" priority="114" operator="equal">
      <formula>3</formula>
    </cfRule>
    <cfRule type="cellIs" dxfId="7654" priority="115" operator="equal">
      <formula>6</formula>
    </cfRule>
    <cfRule type="cellIs" dxfId="7653" priority="116" operator="equal">
      <formula>4</formula>
    </cfRule>
    <cfRule type="cellIs" dxfId="7652" priority="117" operator="equal">
      <formula>2</formula>
    </cfRule>
    <cfRule type="cellIs" dxfId="7651" priority="118" operator="equal">
      <formula>7</formula>
    </cfRule>
    <cfRule type="cellIs" dxfId="7650" priority="119" operator="equal">
      <formula>1</formula>
    </cfRule>
  </conditionalFormatting>
  <conditionalFormatting sqref="Q5:Q36">
    <cfRule type="cellIs" dxfId="7649" priority="94" operator="equal">
      <formula>"a"</formula>
    </cfRule>
    <cfRule type="cellIs" dxfId="7648" priority="95" operator="equal">
      <formula>"k"</formula>
    </cfRule>
    <cfRule type="cellIs" dxfId="7647" priority="96" operator="equal">
      <formula>"u"</formula>
    </cfRule>
    <cfRule type="cellIs" dxfId="7646" priority="97" operator="equal">
      <formula>"f"</formula>
    </cfRule>
    <cfRule type="cellIs" dxfId="7645" priority="98" operator="equal">
      <formula>9</formula>
    </cfRule>
    <cfRule type="cellIs" dxfId="7644" priority="99" operator="equal">
      <formula>8</formula>
    </cfRule>
    <cfRule type="cellIs" dxfId="7643" priority="100" operator="equal">
      <formula>5</formula>
    </cfRule>
    <cfRule type="cellIs" dxfId="7642" priority="101" operator="equal">
      <formula>3</formula>
    </cfRule>
    <cfRule type="cellIs" dxfId="7641" priority="102" operator="equal">
      <formula>6</formula>
    </cfRule>
    <cfRule type="cellIs" dxfId="7640" priority="103" operator="equal">
      <formula>4</formula>
    </cfRule>
    <cfRule type="cellIs" dxfId="7639" priority="104" operator="equal">
      <formula>2</formula>
    </cfRule>
    <cfRule type="cellIs" dxfId="7638" priority="105" operator="equal">
      <formula>7</formula>
    </cfRule>
    <cfRule type="cellIs" dxfId="7637" priority="106" operator="equal">
      <formula>1</formula>
    </cfRule>
  </conditionalFormatting>
  <conditionalFormatting sqref="T5:T36">
    <cfRule type="cellIs" dxfId="7636" priority="81" operator="equal">
      <formula>"a"</formula>
    </cfRule>
    <cfRule type="cellIs" dxfId="7635" priority="82" operator="equal">
      <formula>"k"</formula>
    </cfRule>
    <cfRule type="cellIs" dxfId="7634" priority="83" operator="equal">
      <formula>"u"</formula>
    </cfRule>
    <cfRule type="cellIs" dxfId="7633" priority="84" operator="equal">
      <formula>"f"</formula>
    </cfRule>
    <cfRule type="cellIs" dxfId="7632" priority="85" operator="equal">
      <formula>9</formula>
    </cfRule>
    <cfRule type="cellIs" dxfId="7631" priority="86" operator="equal">
      <formula>8</formula>
    </cfRule>
    <cfRule type="cellIs" dxfId="7630" priority="87" operator="equal">
      <formula>5</formula>
    </cfRule>
    <cfRule type="cellIs" dxfId="7629" priority="88" operator="equal">
      <formula>3</formula>
    </cfRule>
    <cfRule type="cellIs" dxfId="7628" priority="89" operator="equal">
      <formula>6</formula>
    </cfRule>
    <cfRule type="cellIs" dxfId="7627" priority="90" operator="equal">
      <formula>4</formula>
    </cfRule>
    <cfRule type="cellIs" dxfId="7626" priority="91" operator="equal">
      <formula>2</formula>
    </cfRule>
    <cfRule type="cellIs" dxfId="7625" priority="92" operator="equal">
      <formula>7</formula>
    </cfRule>
    <cfRule type="cellIs" dxfId="7624" priority="93" operator="equal">
      <formula>1</formula>
    </cfRule>
  </conditionalFormatting>
  <conditionalFormatting sqref="F5:F36">
    <cfRule type="expression" dxfId="7623" priority="68">
      <formula>COUNTIF(E5,"a")</formula>
    </cfRule>
    <cfRule type="expression" dxfId="7622" priority="69">
      <formula>COUNTIF(E5,"9")</formula>
    </cfRule>
    <cfRule type="expression" dxfId="7621" priority="70">
      <formula>COUNTIF(E5,"k")</formula>
    </cfRule>
    <cfRule type="expression" dxfId="7620" priority="71">
      <formula>COUNTIF(E5,"u")</formula>
    </cfRule>
    <cfRule type="expression" dxfId="7619" priority="72">
      <formula>COUNTIF(E5,"f")</formula>
    </cfRule>
    <cfRule type="expression" dxfId="7618" priority="73">
      <formula>COUNTIF(E5,"8")</formula>
    </cfRule>
    <cfRule type="expression" dxfId="7617" priority="74">
      <formula>COUNTIF(E5,"7")</formula>
    </cfRule>
    <cfRule type="expression" dxfId="7616" priority="75">
      <formula>COUNTIF(E5,"3")</formula>
    </cfRule>
    <cfRule type="expression" dxfId="7615" priority="77">
      <formula>COUNTIF(E5,"5")</formula>
    </cfRule>
    <cfRule type="expression" dxfId="7614" priority="78">
      <formula>COUNTIF(E5,"2")</formula>
    </cfRule>
    <cfRule type="expression" dxfId="7613" priority="79">
      <formula>COUNTIF(E5,"4")</formula>
    </cfRule>
    <cfRule type="expression" dxfId="7612" priority="80">
      <formula>COUNTIF(E5,"1")</formula>
    </cfRule>
  </conditionalFormatting>
  <conditionalFormatting sqref="F5:F36">
    <cfRule type="expression" dxfId="7611" priority="76">
      <formula>COUNTIF(E5,"6")</formula>
    </cfRule>
  </conditionalFormatting>
  <conditionalFormatting sqref="I5:I36">
    <cfRule type="expression" dxfId="7610" priority="55">
      <formula>COUNTIF(H5,"a")</formula>
    </cfRule>
    <cfRule type="expression" dxfId="7609" priority="56">
      <formula>COUNTIF(H5,"9")</formula>
    </cfRule>
    <cfRule type="expression" dxfId="7608" priority="57">
      <formula>COUNTIF(H5,"k")</formula>
    </cfRule>
    <cfRule type="expression" dxfId="7607" priority="58">
      <formula>COUNTIF(H5,"u")</formula>
    </cfRule>
    <cfRule type="expression" dxfId="7606" priority="59">
      <formula>COUNTIF(H5,"f")</formula>
    </cfRule>
    <cfRule type="expression" dxfId="7605" priority="60">
      <formula>COUNTIF(H5,"8")</formula>
    </cfRule>
    <cfRule type="expression" dxfId="7604" priority="61">
      <formula>COUNTIF(H5,"7")</formula>
    </cfRule>
    <cfRule type="expression" dxfId="7603" priority="62">
      <formula>COUNTIF(H5,"3")</formula>
    </cfRule>
    <cfRule type="expression" dxfId="7602" priority="64">
      <formula>COUNTIF(H5,"5")</formula>
    </cfRule>
    <cfRule type="expression" dxfId="7601" priority="65">
      <formula>COUNTIF(H5,"2")</formula>
    </cfRule>
    <cfRule type="expression" dxfId="7600" priority="66">
      <formula>COUNTIF(H5,"4")</formula>
    </cfRule>
    <cfRule type="expression" dxfId="7599" priority="67">
      <formula>COUNTIF(H5,"1")</formula>
    </cfRule>
  </conditionalFormatting>
  <conditionalFormatting sqref="I5:I36">
    <cfRule type="expression" dxfId="7598" priority="63">
      <formula>COUNTIF(H5,"6")</formula>
    </cfRule>
  </conditionalFormatting>
  <conditionalFormatting sqref="L5:L36">
    <cfRule type="expression" dxfId="7597" priority="42">
      <formula>COUNTIF(K5,"a")</formula>
    </cfRule>
    <cfRule type="expression" dxfId="7596" priority="43">
      <formula>COUNTIF(K5,"9")</formula>
    </cfRule>
    <cfRule type="expression" dxfId="7595" priority="44">
      <formula>COUNTIF(K5,"k")</formula>
    </cfRule>
    <cfRule type="expression" dxfId="7594" priority="45">
      <formula>COUNTIF(K5,"u")</formula>
    </cfRule>
    <cfRule type="expression" dxfId="7593" priority="46">
      <formula>COUNTIF(K5,"f")</formula>
    </cfRule>
    <cfRule type="expression" dxfId="7592" priority="47">
      <formula>COUNTIF(K5,"8")</formula>
    </cfRule>
    <cfRule type="expression" dxfId="7591" priority="48">
      <formula>COUNTIF(K5,"7")</formula>
    </cfRule>
    <cfRule type="expression" dxfId="7590" priority="49">
      <formula>COUNTIF(K5,"3")</formula>
    </cfRule>
    <cfRule type="expression" dxfId="7589" priority="51">
      <formula>COUNTIF(K5,"5")</formula>
    </cfRule>
    <cfRule type="expression" dxfId="7588" priority="52">
      <formula>COUNTIF(K5,"2")</formula>
    </cfRule>
    <cfRule type="expression" dxfId="7587" priority="53">
      <formula>COUNTIF(K5,"4")</formula>
    </cfRule>
    <cfRule type="expression" dxfId="7586" priority="54">
      <formula>COUNTIF(K5,"1")</formula>
    </cfRule>
  </conditionalFormatting>
  <conditionalFormatting sqref="L5:L36">
    <cfRule type="expression" dxfId="7585" priority="50">
      <formula>COUNTIF(K5,"6")</formula>
    </cfRule>
  </conditionalFormatting>
  <conditionalFormatting sqref="O5:O36">
    <cfRule type="expression" dxfId="7584" priority="29">
      <formula>COUNTIF(N5,"a")</formula>
    </cfRule>
    <cfRule type="expression" dxfId="7583" priority="30">
      <formula>COUNTIF(N5,"9")</formula>
    </cfRule>
    <cfRule type="expression" dxfId="7582" priority="31">
      <formula>COUNTIF(N5,"k")</formula>
    </cfRule>
    <cfRule type="expression" dxfId="7581" priority="32">
      <formula>COUNTIF(N5,"u")</formula>
    </cfRule>
    <cfRule type="expression" dxfId="7580" priority="33">
      <formula>COUNTIF(N5,"f")</formula>
    </cfRule>
    <cfRule type="expression" dxfId="7579" priority="34">
      <formula>COUNTIF(N5,"8")</formula>
    </cfRule>
    <cfRule type="expression" dxfId="7578" priority="35">
      <formula>COUNTIF(N5,"7")</formula>
    </cfRule>
    <cfRule type="expression" dxfId="7577" priority="36">
      <formula>COUNTIF(N5,"3")</formula>
    </cfRule>
    <cfRule type="expression" dxfId="7576" priority="38">
      <formula>COUNTIF(N5,"5")</formula>
    </cfRule>
    <cfRule type="expression" dxfId="7575" priority="39">
      <formula>COUNTIF(N5,"2")</formula>
    </cfRule>
    <cfRule type="expression" dxfId="7574" priority="40">
      <formula>COUNTIF(N5,"4")</formula>
    </cfRule>
    <cfRule type="expression" dxfId="7573" priority="41">
      <formula>COUNTIF(N5,"1")</formula>
    </cfRule>
  </conditionalFormatting>
  <conditionalFormatting sqref="O5:O36">
    <cfRule type="expression" dxfId="7572" priority="37">
      <formula>COUNTIF(N5,"6")</formula>
    </cfRule>
  </conditionalFormatting>
  <conditionalFormatting sqref="R5:R36">
    <cfRule type="expression" dxfId="7571" priority="16">
      <formula>COUNTIF(Q5,"a")</formula>
    </cfRule>
    <cfRule type="expression" dxfId="7570" priority="17">
      <formula>COUNTIF(Q5,"9")</formula>
    </cfRule>
    <cfRule type="expression" dxfId="7569" priority="18">
      <formula>COUNTIF(Q5,"k")</formula>
    </cfRule>
    <cfRule type="expression" dxfId="7568" priority="19">
      <formula>COUNTIF(Q5,"u")</formula>
    </cfRule>
    <cfRule type="expression" dxfId="7567" priority="20">
      <formula>COUNTIF(Q5,"f")</formula>
    </cfRule>
    <cfRule type="expression" dxfId="7566" priority="21">
      <formula>COUNTIF(Q5,"8")</formula>
    </cfRule>
    <cfRule type="expression" dxfId="7565" priority="22">
      <formula>COUNTIF(Q5,"7")</formula>
    </cfRule>
    <cfRule type="expression" dxfId="7564" priority="23">
      <formula>COUNTIF(Q5,"3")</formula>
    </cfRule>
    <cfRule type="expression" dxfId="7563" priority="25">
      <formula>COUNTIF(Q5,"5")</formula>
    </cfRule>
    <cfRule type="expression" dxfId="7562" priority="26">
      <formula>COUNTIF(Q5,"2")</formula>
    </cfRule>
    <cfRule type="expression" dxfId="7561" priority="27">
      <formula>COUNTIF(Q5,"4")</formula>
    </cfRule>
    <cfRule type="expression" dxfId="7560" priority="28">
      <formula>COUNTIF(Q5,"1")</formula>
    </cfRule>
  </conditionalFormatting>
  <conditionalFormatting sqref="R5:R36">
    <cfRule type="expression" dxfId="7559" priority="24">
      <formula>COUNTIF(Q5,"6")</formula>
    </cfRule>
  </conditionalFormatting>
  <conditionalFormatting sqref="U5:U36">
    <cfRule type="expression" dxfId="7558" priority="3">
      <formula>COUNTIF(T5,"a")</formula>
    </cfRule>
    <cfRule type="expression" dxfId="7557" priority="4">
      <formula>COUNTIF(T5,"9")</formula>
    </cfRule>
    <cfRule type="expression" dxfId="7556" priority="5">
      <formula>COUNTIF(T5,"k")</formula>
    </cfRule>
    <cfRule type="expression" dxfId="7555" priority="6">
      <formula>COUNTIF(T5,"u")</formula>
    </cfRule>
    <cfRule type="expression" dxfId="7554" priority="7">
      <formula>COUNTIF(T5,"f")</formula>
    </cfRule>
    <cfRule type="expression" dxfId="7553" priority="8">
      <formula>COUNTIF(T5,"8")</formula>
    </cfRule>
    <cfRule type="expression" dxfId="7552" priority="9">
      <formula>COUNTIF(T5,"7")</formula>
    </cfRule>
    <cfRule type="expression" dxfId="7551" priority="10">
      <formula>COUNTIF(T5,"3")</formula>
    </cfRule>
    <cfRule type="expression" dxfId="7550" priority="12">
      <formula>COUNTIF(T5,"5")</formula>
    </cfRule>
    <cfRule type="expression" dxfId="7549" priority="13">
      <formula>COUNTIF(T5,"2")</formula>
    </cfRule>
    <cfRule type="expression" dxfId="7548" priority="14">
      <formula>COUNTIF(T5,"4")</formula>
    </cfRule>
    <cfRule type="expression" dxfId="7547" priority="15">
      <formula>COUNTIF(T5,"1")</formula>
    </cfRule>
  </conditionalFormatting>
  <conditionalFormatting sqref="U5:U36">
    <cfRule type="expression" dxfId="7546" priority="11">
      <formula>COUNTIF(T5,"6")</formula>
    </cfRule>
  </conditionalFormatting>
  <conditionalFormatting sqref="V32">
    <cfRule type="cellIs" dxfId="7545" priority="1" operator="lessThan">
      <formula>0</formula>
    </cfRule>
    <cfRule type="cellIs" dxfId="754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32B6725-5FBA-CD49-BADD-E41E783F8407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93A9E-2EEE-8743-87CC-53B307DD6C5D}">
  <sheetPr codeName="Tabelle5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13</v>
      </c>
      <c r="Q1" s="176"/>
      <c r="R1" s="79">
        <f>DATE(V1,1,7*P1-3-WEEKDAY(DATE(V1,,),3))</f>
        <v>45376</v>
      </c>
      <c r="S1" s="80" t="s">
        <v>1</v>
      </c>
      <c r="T1" s="177">
        <f>DATE(V1,1,7*P1+3-WEEKDAY(DATE(V1,,),3))</f>
        <v>45382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45376</v>
      </c>
      <c r="B2" s="178"/>
      <c r="C2" s="178"/>
      <c r="D2" s="178">
        <f>A2+1</f>
        <v>45377</v>
      </c>
      <c r="E2" s="179"/>
      <c r="F2" s="179"/>
      <c r="G2" s="178">
        <f>D2+1</f>
        <v>45378</v>
      </c>
      <c r="H2" s="179"/>
      <c r="I2" s="179"/>
      <c r="J2" s="178">
        <f>G2+1</f>
        <v>45379</v>
      </c>
      <c r="K2" s="179"/>
      <c r="L2" s="179"/>
      <c r="M2" s="178">
        <f>J2+1</f>
        <v>45380</v>
      </c>
      <c r="N2" s="179"/>
      <c r="O2" s="179"/>
      <c r="P2" s="178">
        <f>M2+1</f>
        <v>45381</v>
      </c>
      <c r="Q2" s="179"/>
      <c r="R2" s="179"/>
      <c r="S2" s="178">
        <f>P2+1</f>
        <v>45382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45376</v>
      </c>
      <c r="B3" s="168"/>
      <c r="C3" s="168"/>
      <c r="D3" s="168">
        <f>A3+1</f>
        <v>45377</v>
      </c>
      <c r="E3" s="168"/>
      <c r="F3" s="168"/>
      <c r="G3" s="168">
        <f>D3+1</f>
        <v>45378</v>
      </c>
      <c r="H3" s="168"/>
      <c r="I3" s="168"/>
      <c r="J3" s="168">
        <f>G3+1</f>
        <v>45379</v>
      </c>
      <c r="K3" s="168"/>
      <c r="L3" s="168"/>
      <c r="M3" s="168">
        <f>J3+1</f>
        <v>45380</v>
      </c>
      <c r="N3" s="168"/>
      <c r="O3" s="168"/>
      <c r="P3" s="168">
        <f>M3+1</f>
        <v>45381</v>
      </c>
      <c r="Q3" s="168"/>
      <c r="R3" s="168"/>
      <c r="S3" s="168">
        <f>P3+1</f>
        <v>45382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45376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45377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45378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45379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45380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45381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45382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12'!V32</f>
        <v>-480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-520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543" priority="159">
      <formula>COUNTIF(B5,"a")</formula>
    </cfRule>
    <cfRule type="expression" dxfId="7542" priority="161">
      <formula>COUNTIF(B5,"9")</formula>
    </cfRule>
    <cfRule type="expression" dxfId="7541" priority="163">
      <formula>COUNTIF(B5,"k")</formula>
    </cfRule>
    <cfRule type="expression" dxfId="7540" priority="164">
      <formula>COUNTIF(B5,"u")</formula>
    </cfRule>
    <cfRule type="expression" dxfId="7539" priority="167">
      <formula>COUNTIF(B5,"f")</formula>
    </cfRule>
    <cfRule type="expression" dxfId="7538" priority="168">
      <formula>COUNTIF(B5,"8")</formula>
    </cfRule>
    <cfRule type="expression" dxfId="7537" priority="169">
      <formula>COUNTIF(B5,"7")</formula>
    </cfRule>
    <cfRule type="expression" dxfId="7536" priority="170">
      <formula>COUNTIF(B5,"3")</formula>
    </cfRule>
    <cfRule type="expression" dxfId="7535" priority="181">
      <formula>COUNTIF(B5,"5")</formula>
    </cfRule>
    <cfRule type="expression" dxfId="7534" priority="182">
      <formula>COUNTIF(B5,"2")</formula>
    </cfRule>
    <cfRule type="expression" dxfId="7533" priority="183">
      <formula>COUNTIF(B5,"4")</formula>
    </cfRule>
    <cfRule type="expression" dxfId="7532" priority="184">
      <formula>COUNTIF(B5,"1")</formula>
    </cfRule>
  </conditionalFormatting>
  <conditionalFormatting sqref="B5:B36">
    <cfRule type="cellIs" dxfId="7531" priority="160" operator="equal">
      <formula>"a"</formula>
    </cfRule>
    <cfRule type="cellIs" dxfId="7530" priority="162" operator="equal">
      <formula>"k"</formula>
    </cfRule>
    <cfRule type="cellIs" dxfId="7529" priority="165" operator="equal">
      <formula>"u"</formula>
    </cfRule>
    <cfRule type="cellIs" dxfId="7528" priority="166" operator="equal">
      <formula>"f"</formula>
    </cfRule>
    <cfRule type="cellIs" dxfId="7527" priority="171" operator="equal">
      <formula>9</formula>
    </cfRule>
    <cfRule type="cellIs" dxfId="7526" priority="172" operator="equal">
      <formula>8</formula>
    </cfRule>
    <cfRule type="cellIs" dxfId="7525" priority="173" operator="equal">
      <formula>5</formula>
    </cfRule>
    <cfRule type="cellIs" dxfId="7524" priority="174" operator="equal">
      <formula>3</formula>
    </cfRule>
    <cfRule type="cellIs" dxfId="7523" priority="176" operator="equal">
      <formula>6</formula>
    </cfRule>
    <cfRule type="cellIs" dxfId="7522" priority="177" operator="equal">
      <formula>4</formula>
    </cfRule>
    <cfRule type="cellIs" dxfId="7521" priority="178" operator="equal">
      <formula>2</formula>
    </cfRule>
    <cfRule type="cellIs" dxfId="7520" priority="179" operator="equal">
      <formula>7</formula>
    </cfRule>
    <cfRule type="cellIs" dxfId="7519" priority="180" operator="equal">
      <formula>1</formula>
    </cfRule>
  </conditionalFormatting>
  <conditionalFormatting sqref="C5:C36">
    <cfRule type="expression" dxfId="7518" priority="175">
      <formula>COUNTIF(B5,"6")</formula>
    </cfRule>
  </conditionalFormatting>
  <conditionalFormatting sqref="E5:E36">
    <cfRule type="cellIs" dxfId="7517" priority="146" operator="equal">
      <formula>"a"</formula>
    </cfRule>
    <cfRule type="cellIs" dxfId="7516" priority="147" operator="equal">
      <formula>"k"</formula>
    </cfRule>
    <cfRule type="cellIs" dxfId="7515" priority="148" operator="equal">
      <formula>"u"</formula>
    </cfRule>
    <cfRule type="cellIs" dxfId="7514" priority="149" operator="equal">
      <formula>"f"</formula>
    </cfRule>
    <cfRule type="cellIs" dxfId="7513" priority="150" operator="equal">
      <formula>9</formula>
    </cfRule>
    <cfRule type="cellIs" dxfId="7512" priority="151" operator="equal">
      <formula>8</formula>
    </cfRule>
    <cfRule type="cellIs" dxfId="7511" priority="152" operator="equal">
      <formula>5</formula>
    </cfRule>
    <cfRule type="cellIs" dxfId="7510" priority="153" operator="equal">
      <formula>3</formula>
    </cfRule>
    <cfRule type="cellIs" dxfId="7509" priority="154" operator="equal">
      <formula>6</formula>
    </cfRule>
    <cfRule type="cellIs" dxfId="7508" priority="155" operator="equal">
      <formula>4</formula>
    </cfRule>
    <cfRule type="cellIs" dxfId="7507" priority="156" operator="equal">
      <formula>2</formula>
    </cfRule>
    <cfRule type="cellIs" dxfId="7506" priority="157" operator="equal">
      <formula>7</formula>
    </cfRule>
    <cfRule type="cellIs" dxfId="7505" priority="158" operator="equal">
      <formula>1</formula>
    </cfRule>
  </conditionalFormatting>
  <conditionalFormatting sqref="H5:H36">
    <cfRule type="cellIs" dxfId="7504" priority="133" operator="equal">
      <formula>"a"</formula>
    </cfRule>
    <cfRule type="cellIs" dxfId="7503" priority="134" operator="equal">
      <formula>"k"</formula>
    </cfRule>
    <cfRule type="cellIs" dxfId="7502" priority="135" operator="equal">
      <formula>"u"</formula>
    </cfRule>
    <cfRule type="cellIs" dxfId="7501" priority="136" operator="equal">
      <formula>"f"</formula>
    </cfRule>
    <cfRule type="cellIs" dxfId="7500" priority="137" operator="equal">
      <formula>9</formula>
    </cfRule>
    <cfRule type="cellIs" dxfId="7499" priority="138" operator="equal">
      <formula>8</formula>
    </cfRule>
    <cfRule type="cellIs" dxfId="7498" priority="139" operator="equal">
      <formula>5</formula>
    </cfRule>
    <cfRule type="cellIs" dxfId="7497" priority="140" operator="equal">
      <formula>3</formula>
    </cfRule>
    <cfRule type="cellIs" dxfId="7496" priority="141" operator="equal">
      <formula>6</formula>
    </cfRule>
    <cfRule type="cellIs" dxfId="7495" priority="142" operator="equal">
      <formula>4</formula>
    </cfRule>
    <cfRule type="cellIs" dxfId="7494" priority="143" operator="equal">
      <formula>2</formula>
    </cfRule>
    <cfRule type="cellIs" dxfId="7493" priority="144" operator="equal">
      <formula>7</formula>
    </cfRule>
    <cfRule type="cellIs" dxfId="7492" priority="145" operator="equal">
      <formula>1</formula>
    </cfRule>
  </conditionalFormatting>
  <conditionalFormatting sqref="K5:K36">
    <cfRule type="cellIs" dxfId="7491" priority="120" operator="equal">
      <formula>"a"</formula>
    </cfRule>
    <cfRule type="cellIs" dxfId="7490" priority="121" operator="equal">
      <formula>"k"</formula>
    </cfRule>
    <cfRule type="cellIs" dxfId="7489" priority="122" operator="equal">
      <formula>"u"</formula>
    </cfRule>
    <cfRule type="cellIs" dxfId="7488" priority="123" operator="equal">
      <formula>"f"</formula>
    </cfRule>
    <cfRule type="cellIs" dxfId="7487" priority="124" operator="equal">
      <formula>9</formula>
    </cfRule>
    <cfRule type="cellIs" dxfId="7486" priority="125" operator="equal">
      <formula>8</formula>
    </cfRule>
    <cfRule type="cellIs" dxfId="7485" priority="126" operator="equal">
      <formula>5</formula>
    </cfRule>
    <cfRule type="cellIs" dxfId="7484" priority="127" operator="equal">
      <formula>3</formula>
    </cfRule>
    <cfRule type="cellIs" dxfId="7483" priority="128" operator="equal">
      <formula>6</formula>
    </cfRule>
    <cfRule type="cellIs" dxfId="7482" priority="129" operator="equal">
      <formula>4</formula>
    </cfRule>
    <cfRule type="cellIs" dxfId="7481" priority="130" operator="equal">
      <formula>2</formula>
    </cfRule>
    <cfRule type="cellIs" dxfId="7480" priority="131" operator="equal">
      <formula>7</formula>
    </cfRule>
    <cfRule type="cellIs" dxfId="7479" priority="132" operator="equal">
      <formula>1</formula>
    </cfRule>
  </conditionalFormatting>
  <conditionalFormatting sqref="N5:N36">
    <cfRule type="cellIs" dxfId="7478" priority="107" operator="equal">
      <formula>"a"</formula>
    </cfRule>
    <cfRule type="cellIs" dxfId="7477" priority="108" operator="equal">
      <formula>"k"</formula>
    </cfRule>
    <cfRule type="cellIs" dxfId="7476" priority="109" operator="equal">
      <formula>"u"</formula>
    </cfRule>
    <cfRule type="cellIs" dxfId="7475" priority="110" operator="equal">
      <formula>"f"</formula>
    </cfRule>
    <cfRule type="cellIs" dxfId="7474" priority="111" operator="equal">
      <formula>9</formula>
    </cfRule>
    <cfRule type="cellIs" dxfId="7473" priority="112" operator="equal">
      <formula>8</formula>
    </cfRule>
    <cfRule type="cellIs" dxfId="7472" priority="113" operator="equal">
      <formula>5</formula>
    </cfRule>
    <cfRule type="cellIs" dxfId="7471" priority="114" operator="equal">
      <formula>3</formula>
    </cfRule>
    <cfRule type="cellIs" dxfId="7470" priority="115" operator="equal">
      <formula>6</formula>
    </cfRule>
    <cfRule type="cellIs" dxfId="7469" priority="116" operator="equal">
      <formula>4</formula>
    </cfRule>
    <cfRule type="cellIs" dxfId="7468" priority="117" operator="equal">
      <formula>2</formula>
    </cfRule>
    <cfRule type="cellIs" dxfId="7467" priority="118" operator="equal">
      <formula>7</formula>
    </cfRule>
    <cfRule type="cellIs" dxfId="7466" priority="119" operator="equal">
      <formula>1</formula>
    </cfRule>
  </conditionalFormatting>
  <conditionalFormatting sqref="Q5:Q36">
    <cfRule type="cellIs" dxfId="7465" priority="94" operator="equal">
      <formula>"a"</formula>
    </cfRule>
    <cfRule type="cellIs" dxfId="7464" priority="95" operator="equal">
      <formula>"k"</formula>
    </cfRule>
    <cfRule type="cellIs" dxfId="7463" priority="96" operator="equal">
      <formula>"u"</formula>
    </cfRule>
    <cfRule type="cellIs" dxfId="7462" priority="97" operator="equal">
      <formula>"f"</formula>
    </cfRule>
    <cfRule type="cellIs" dxfId="7461" priority="98" operator="equal">
      <formula>9</formula>
    </cfRule>
    <cfRule type="cellIs" dxfId="7460" priority="99" operator="equal">
      <formula>8</formula>
    </cfRule>
    <cfRule type="cellIs" dxfId="7459" priority="100" operator="equal">
      <formula>5</formula>
    </cfRule>
    <cfRule type="cellIs" dxfId="7458" priority="101" operator="equal">
      <formula>3</formula>
    </cfRule>
    <cfRule type="cellIs" dxfId="7457" priority="102" operator="equal">
      <formula>6</formula>
    </cfRule>
    <cfRule type="cellIs" dxfId="7456" priority="103" operator="equal">
      <formula>4</formula>
    </cfRule>
    <cfRule type="cellIs" dxfId="7455" priority="104" operator="equal">
      <formula>2</formula>
    </cfRule>
    <cfRule type="cellIs" dxfId="7454" priority="105" operator="equal">
      <formula>7</formula>
    </cfRule>
    <cfRule type="cellIs" dxfId="7453" priority="106" operator="equal">
      <formula>1</formula>
    </cfRule>
  </conditionalFormatting>
  <conditionalFormatting sqref="T5:T36">
    <cfRule type="cellIs" dxfId="7452" priority="81" operator="equal">
      <formula>"a"</formula>
    </cfRule>
    <cfRule type="cellIs" dxfId="7451" priority="82" operator="equal">
      <formula>"k"</formula>
    </cfRule>
    <cfRule type="cellIs" dxfId="7450" priority="83" operator="equal">
      <formula>"u"</formula>
    </cfRule>
    <cfRule type="cellIs" dxfId="7449" priority="84" operator="equal">
      <formula>"f"</formula>
    </cfRule>
    <cfRule type="cellIs" dxfId="7448" priority="85" operator="equal">
      <formula>9</formula>
    </cfRule>
    <cfRule type="cellIs" dxfId="7447" priority="86" operator="equal">
      <formula>8</formula>
    </cfRule>
    <cfRule type="cellIs" dxfId="7446" priority="87" operator="equal">
      <formula>5</formula>
    </cfRule>
    <cfRule type="cellIs" dxfId="7445" priority="88" operator="equal">
      <formula>3</formula>
    </cfRule>
    <cfRule type="cellIs" dxfId="7444" priority="89" operator="equal">
      <formula>6</formula>
    </cfRule>
    <cfRule type="cellIs" dxfId="7443" priority="90" operator="equal">
      <formula>4</formula>
    </cfRule>
    <cfRule type="cellIs" dxfId="7442" priority="91" operator="equal">
      <formula>2</formula>
    </cfRule>
    <cfRule type="cellIs" dxfId="7441" priority="92" operator="equal">
      <formula>7</formula>
    </cfRule>
    <cfRule type="cellIs" dxfId="7440" priority="93" operator="equal">
      <formula>1</formula>
    </cfRule>
  </conditionalFormatting>
  <conditionalFormatting sqref="F5:F36">
    <cfRule type="expression" dxfId="7439" priority="68">
      <formula>COUNTIF(E5,"a")</formula>
    </cfRule>
    <cfRule type="expression" dxfId="7438" priority="69">
      <formula>COUNTIF(E5,"9")</formula>
    </cfRule>
    <cfRule type="expression" dxfId="7437" priority="70">
      <formula>COUNTIF(E5,"k")</formula>
    </cfRule>
    <cfRule type="expression" dxfId="7436" priority="71">
      <formula>COUNTIF(E5,"u")</formula>
    </cfRule>
    <cfRule type="expression" dxfId="7435" priority="72">
      <formula>COUNTIF(E5,"f")</formula>
    </cfRule>
    <cfRule type="expression" dxfId="7434" priority="73">
      <formula>COUNTIF(E5,"8")</formula>
    </cfRule>
    <cfRule type="expression" dxfId="7433" priority="74">
      <formula>COUNTIF(E5,"7")</formula>
    </cfRule>
    <cfRule type="expression" dxfId="7432" priority="75">
      <formula>COUNTIF(E5,"3")</formula>
    </cfRule>
    <cfRule type="expression" dxfId="7431" priority="77">
      <formula>COUNTIF(E5,"5")</formula>
    </cfRule>
    <cfRule type="expression" dxfId="7430" priority="78">
      <formula>COUNTIF(E5,"2")</formula>
    </cfRule>
    <cfRule type="expression" dxfId="7429" priority="79">
      <formula>COUNTIF(E5,"4")</formula>
    </cfRule>
    <cfRule type="expression" dxfId="7428" priority="80">
      <formula>COUNTIF(E5,"1")</formula>
    </cfRule>
  </conditionalFormatting>
  <conditionalFormatting sqref="F5:F36">
    <cfRule type="expression" dxfId="7427" priority="76">
      <formula>COUNTIF(E5,"6")</formula>
    </cfRule>
  </conditionalFormatting>
  <conditionalFormatting sqref="I5:I36">
    <cfRule type="expression" dxfId="7426" priority="55">
      <formula>COUNTIF(H5,"a")</formula>
    </cfRule>
    <cfRule type="expression" dxfId="7425" priority="56">
      <formula>COUNTIF(H5,"9")</formula>
    </cfRule>
    <cfRule type="expression" dxfId="7424" priority="57">
      <formula>COUNTIF(H5,"k")</formula>
    </cfRule>
    <cfRule type="expression" dxfId="7423" priority="58">
      <formula>COUNTIF(H5,"u")</formula>
    </cfRule>
    <cfRule type="expression" dxfId="7422" priority="59">
      <formula>COUNTIF(H5,"f")</formula>
    </cfRule>
    <cfRule type="expression" dxfId="7421" priority="60">
      <formula>COUNTIF(H5,"8")</formula>
    </cfRule>
    <cfRule type="expression" dxfId="7420" priority="61">
      <formula>COUNTIF(H5,"7")</formula>
    </cfRule>
    <cfRule type="expression" dxfId="7419" priority="62">
      <formula>COUNTIF(H5,"3")</formula>
    </cfRule>
    <cfRule type="expression" dxfId="7418" priority="64">
      <formula>COUNTIF(H5,"5")</formula>
    </cfRule>
    <cfRule type="expression" dxfId="7417" priority="65">
      <formula>COUNTIF(H5,"2")</formula>
    </cfRule>
    <cfRule type="expression" dxfId="7416" priority="66">
      <formula>COUNTIF(H5,"4")</formula>
    </cfRule>
    <cfRule type="expression" dxfId="7415" priority="67">
      <formula>COUNTIF(H5,"1")</formula>
    </cfRule>
  </conditionalFormatting>
  <conditionalFormatting sqref="I5:I36">
    <cfRule type="expression" dxfId="7414" priority="63">
      <formula>COUNTIF(H5,"6")</formula>
    </cfRule>
  </conditionalFormatting>
  <conditionalFormatting sqref="L5:L36">
    <cfRule type="expression" dxfId="7413" priority="42">
      <formula>COUNTIF(K5,"a")</formula>
    </cfRule>
    <cfRule type="expression" dxfId="7412" priority="43">
      <formula>COUNTIF(K5,"9")</formula>
    </cfRule>
    <cfRule type="expression" dxfId="7411" priority="44">
      <formula>COUNTIF(K5,"k")</formula>
    </cfRule>
    <cfRule type="expression" dxfId="7410" priority="45">
      <formula>COUNTIF(K5,"u")</formula>
    </cfRule>
    <cfRule type="expression" dxfId="7409" priority="46">
      <formula>COUNTIF(K5,"f")</formula>
    </cfRule>
    <cfRule type="expression" dxfId="7408" priority="47">
      <formula>COUNTIF(K5,"8")</formula>
    </cfRule>
    <cfRule type="expression" dxfId="7407" priority="48">
      <formula>COUNTIF(K5,"7")</formula>
    </cfRule>
    <cfRule type="expression" dxfId="7406" priority="49">
      <formula>COUNTIF(K5,"3")</formula>
    </cfRule>
    <cfRule type="expression" dxfId="7405" priority="51">
      <formula>COUNTIF(K5,"5")</formula>
    </cfRule>
    <cfRule type="expression" dxfId="7404" priority="52">
      <formula>COUNTIF(K5,"2")</formula>
    </cfRule>
    <cfRule type="expression" dxfId="7403" priority="53">
      <formula>COUNTIF(K5,"4")</formula>
    </cfRule>
    <cfRule type="expression" dxfId="7402" priority="54">
      <formula>COUNTIF(K5,"1")</formula>
    </cfRule>
  </conditionalFormatting>
  <conditionalFormatting sqref="L5:L36">
    <cfRule type="expression" dxfId="7401" priority="50">
      <formula>COUNTIF(K5,"6")</formula>
    </cfRule>
  </conditionalFormatting>
  <conditionalFormatting sqref="O5:O36">
    <cfRule type="expression" dxfId="7400" priority="29">
      <formula>COUNTIF(N5,"a")</formula>
    </cfRule>
    <cfRule type="expression" dxfId="7399" priority="30">
      <formula>COUNTIF(N5,"9")</formula>
    </cfRule>
    <cfRule type="expression" dxfId="7398" priority="31">
      <formula>COUNTIF(N5,"k")</formula>
    </cfRule>
    <cfRule type="expression" dxfId="7397" priority="32">
      <formula>COUNTIF(N5,"u")</formula>
    </cfRule>
    <cfRule type="expression" dxfId="7396" priority="33">
      <formula>COUNTIF(N5,"f")</formula>
    </cfRule>
    <cfRule type="expression" dxfId="7395" priority="34">
      <formula>COUNTIF(N5,"8")</formula>
    </cfRule>
    <cfRule type="expression" dxfId="7394" priority="35">
      <formula>COUNTIF(N5,"7")</formula>
    </cfRule>
    <cfRule type="expression" dxfId="7393" priority="36">
      <formula>COUNTIF(N5,"3")</formula>
    </cfRule>
    <cfRule type="expression" dxfId="7392" priority="38">
      <formula>COUNTIF(N5,"5")</formula>
    </cfRule>
    <cfRule type="expression" dxfId="7391" priority="39">
      <formula>COUNTIF(N5,"2")</formula>
    </cfRule>
    <cfRule type="expression" dxfId="7390" priority="40">
      <formula>COUNTIF(N5,"4")</formula>
    </cfRule>
    <cfRule type="expression" dxfId="7389" priority="41">
      <formula>COUNTIF(N5,"1")</formula>
    </cfRule>
  </conditionalFormatting>
  <conditionalFormatting sqref="O5:O36">
    <cfRule type="expression" dxfId="7388" priority="37">
      <formula>COUNTIF(N5,"6")</formula>
    </cfRule>
  </conditionalFormatting>
  <conditionalFormatting sqref="R5:R36">
    <cfRule type="expression" dxfId="7387" priority="16">
      <formula>COUNTIF(Q5,"a")</formula>
    </cfRule>
    <cfRule type="expression" dxfId="7386" priority="17">
      <formula>COUNTIF(Q5,"9")</formula>
    </cfRule>
    <cfRule type="expression" dxfId="7385" priority="18">
      <formula>COUNTIF(Q5,"k")</formula>
    </cfRule>
    <cfRule type="expression" dxfId="7384" priority="19">
      <formula>COUNTIF(Q5,"u")</formula>
    </cfRule>
    <cfRule type="expression" dxfId="7383" priority="20">
      <formula>COUNTIF(Q5,"f")</formula>
    </cfRule>
    <cfRule type="expression" dxfId="7382" priority="21">
      <formula>COUNTIF(Q5,"8")</formula>
    </cfRule>
    <cfRule type="expression" dxfId="7381" priority="22">
      <formula>COUNTIF(Q5,"7")</formula>
    </cfRule>
    <cfRule type="expression" dxfId="7380" priority="23">
      <formula>COUNTIF(Q5,"3")</formula>
    </cfRule>
    <cfRule type="expression" dxfId="7379" priority="25">
      <formula>COUNTIF(Q5,"5")</formula>
    </cfRule>
    <cfRule type="expression" dxfId="7378" priority="26">
      <formula>COUNTIF(Q5,"2")</formula>
    </cfRule>
    <cfRule type="expression" dxfId="7377" priority="27">
      <formula>COUNTIF(Q5,"4")</formula>
    </cfRule>
    <cfRule type="expression" dxfId="7376" priority="28">
      <formula>COUNTIF(Q5,"1")</formula>
    </cfRule>
  </conditionalFormatting>
  <conditionalFormatting sqref="R5:R36">
    <cfRule type="expression" dxfId="7375" priority="24">
      <formula>COUNTIF(Q5,"6")</formula>
    </cfRule>
  </conditionalFormatting>
  <conditionalFormatting sqref="U5:U36">
    <cfRule type="expression" dxfId="7374" priority="3">
      <formula>COUNTIF(T5,"a")</formula>
    </cfRule>
    <cfRule type="expression" dxfId="7373" priority="4">
      <formula>COUNTIF(T5,"9")</formula>
    </cfRule>
    <cfRule type="expression" dxfId="7372" priority="5">
      <formula>COUNTIF(T5,"k")</formula>
    </cfRule>
    <cfRule type="expression" dxfId="7371" priority="6">
      <formula>COUNTIF(T5,"u")</formula>
    </cfRule>
    <cfRule type="expression" dxfId="7370" priority="7">
      <formula>COUNTIF(T5,"f")</formula>
    </cfRule>
    <cfRule type="expression" dxfId="7369" priority="8">
      <formula>COUNTIF(T5,"8")</formula>
    </cfRule>
    <cfRule type="expression" dxfId="7368" priority="9">
      <formula>COUNTIF(T5,"7")</formula>
    </cfRule>
    <cfRule type="expression" dxfId="7367" priority="10">
      <formula>COUNTIF(T5,"3")</formula>
    </cfRule>
    <cfRule type="expression" dxfId="7366" priority="12">
      <formula>COUNTIF(T5,"5")</formula>
    </cfRule>
    <cfRule type="expression" dxfId="7365" priority="13">
      <formula>COUNTIF(T5,"2")</formula>
    </cfRule>
    <cfRule type="expression" dxfId="7364" priority="14">
      <formula>COUNTIF(T5,"4")</formula>
    </cfRule>
    <cfRule type="expression" dxfId="7363" priority="15">
      <formula>COUNTIF(T5,"1")</formula>
    </cfRule>
  </conditionalFormatting>
  <conditionalFormatting sqref="U5:U36">
    <cfRule type="expression" dxfId="7362" priority="11">
      <formula>COUNTIF(T5,"6")</formula>
    </cfRule>
  </conditionalFormatting>
  <conditionalFormatting sqref="V32">
    <cfRule type="cellIs" dxfId="7361" priority="1" operator="lessThan">
      <formula>0</formula>
    </cfRule>
    <cfRule type="cellIs" dxfId="736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0914BDA8-B360-B341-916D-79A03335F7A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4AFD-FB14-C245-B3C3-4B4E9A9FA669}">
  <sheetPr codeName="Tabelle59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14</v>
      </c>
      <c r="Q1" s="176"/>
      <c r="R1" s="79">
        <f>DATE(V1,1,7*P1-3-WEEKDAY(DATE(V1,,),3))</f>
        <v>45383</v>
      </c>
      <c r="S1" s="80" t="s">
        <v>1</v>
      </c>
      <c r="T1" s="177">
        <f>DATE(V1,1,7*P1+3-WEEKDAY(DATE(V1,,),3))</f>
        <v>45389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45383</v>
      </c>
      <c r="B2" s="178"/>
      <c r="C2" s="178"/>
      <c r="D2" s="178">
        <f>A2+1</f>
        <v>45384</v>
      </c>
      <c r="E2" s="179"/>
      <c r="F2" s="179"/>
      <c r="G2" s="178">
        <f>D2+1</f>
        <v>45385</v>
      </c>
      <c r="H2" s="179"/>
      <c r="I2" s="179"/>
      <c r="J2" s="178">
        <f>G2+1</f>
        <v>45386</v>
      </c>
      <c r="K2" s="179"/>
      <c r="L2" s="179"/>
      <c r="M2" s="178">
        <f>J2+1</f>
        <v>45387</v>
      </c>
      <c r="N2" s="179"/>
      <c r="O2" s="179"/>
      <c r="P2" s="178">
        <f>M2+1</f>
        <v>45388</v>
      </c>
      <c r="Q2" s="179"/>
      <c r="R2" s="179"/>
      <c r="S2" s="178">
        <f>P2+1</f>
        <v>45389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45383</v>
      </c>
      <c r="B3" s="168"/>
      <c r="C3" s="168"/>
      <c r="D3" s="168">
        <f>A3+1</f>
        <v>45384</v>
      </c>
      <c r="E3" s="168"/>
      <c r="F3" s="168"/>
      <c r="G3" s="168">
        <f>D3+1</f>
        <v>45385</v>
      </c>
      <c r="H3" s="168"/>
      <c r="I3" s="168"/>
      <c r="J3" s="168">
        <f>G3+1</f>
        <v>45386</v>
      </c>
      <c r="K3" s="168"/>
      <c r="L3" s="168"/>
      <c r="M3" s="168">
        <f>J3+1</f>
        <v>45387</v>
      </c>
      <c r="N3" s="168"/>
      <c r="O3" s="168"/>
      <c r="P3" s="168">
        <f>M3+1</f>
        <v>45388</v>
      </c>
      <c r="Q3" s="168"/>
      <c r="R3" s="168"/>
      <c r="S3" s="168">
        <f>P3+1</f>
        <v>45389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45383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45384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45385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45386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45387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45388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45389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13'!V32</f>
        <v>-520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-560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359" priority="159">
      <formula>COUNTIF(B5,"a")</formula>
    </cfRule>
    <cfRule type="expression" dxfId="7358" priority="161">
      <formula>COUNTIF(B5,"9")</formula>
    </cfRule>
    <cfRule type="expression" dxfId="7357" priority="163">
      <formula>COUNTIF(B5,"k")</formula>
    </cfRule>
    <cfRule type="expression" dxfId="7356" priority="164">
      <formula>COUNTIF(B5,"u")</formula>
    </cfRule>
    <cfRule type="expression" dxfId="7355" priority="167">
      <formula>COUNTIF(B5,"f")</formula>
    </cfRule>
    <cfRule type="expression" dxfId="7354" priority="168">
      <formula>COUNTIF(B5,"8")</formula>
    </cfRule>
    <cfRule type="expression" dxfId="7353" priority="169">
      <formula>COUNTIF(B5,"7")</formula>
    </cfRule>
    <cfRule type="expression" dxfId="7352" priority="170">
      <formula>COUNTIF(B5,"3")</formula>
    </cfRule>
    <cfRule type="expression" dxfId="7351" priority="181">
      <formula>COUNTIF(B5,"5")</formula>
    </cfRule>
    <cfRule type="expression" dxfId="7350" priority="182">
      <formula>COUNTIF(B5,"2")</formula>
    </cfRule>
    <cfRule type="expression" dxfId="7349" priority="183">
      <formula>COUNTIF(B5,"4")</formula>
    </cfRule>
    <cfRule type="expression" dxfId="7348" priority="184">
      <formula>COUNTIF(B5,"1")</formula>
    </cfRule>
  </conditionalFormatting>
  <conditionalFormatting sqref="B5:B36">
    <cfRule type="cellIs" dxfId="7347" priority="160" operator="equal">
      <formula>"a"</formula>
    </cfRule>
    <cfRule type="cellIs" dxfId="7346" priority="162" operator="equal">
      <formula>"k"</formula>
    </cfRule>
    <cfRule type="cellIs" dxfId="7345" priority="165" operator="equal">
      <formula>"u"</formula>
    </cfRule>
    <cfRule type="cellIs" dxfId="7344" priority="166" operator="equal">
      <formula>"f"</formula>
    </cfRule>
    <cfRule type="cellIs" dxfId="7343" priority="171" operator="equal">
      <formula>9</formula>
    </cfRule>
    <cfRule type="cellIs" dxfId="7342" priority="172" operator="equal">
      <formula>8</formula>
    </cfRule>
    <cfRule type="cellIs" dxfId="7341" priority="173" operator="equal">
      <formula>5</formula>
    </cfRule>
    <cfRule type="cellIs" dxfId="7340" priority="174" operator="equal">
      <formula>3</formula>
    </cfRule>
    <cfRule type="cellIs" dxfId="7339" priority="176" operator="equal">
      <formula>6</formula>
    </cfRule>
    <cfRule type="cellIs" dxfId="7338" priority="177" operator="equal">
      <formula>4</formula>
    </cfRule>
    <cfRule type="cellIs" dxfId="7337" priority="178" operator="equal">
      <formula>2</formula>
    </cfRule>
    <cfRule type="cellIs" dxfId="7336" priority="179" operator="equal">
      <formula>7</formula>
    </cfRule>
    <cfRule type="cellIs" dxfId="7335" priority="180" operator="equal">
      <formula>1</formula>
    </cfRule>
  </conditionalFormatting>
  <conditionalFormatting sqref="C5:C36">
    <cfRule type="expression" dxfId="7334" priority="175">
      <formula>COUNTIF(B5,"6")</formula>
    </cfRule>
  </conditionalFormatting>
  <conditionalFormatting sqref="E5:E36">
    <cfRule type="cellIs" dxfId="7333" priority="146" operator="equal">
      <formula>"a"</formula>
    </cfRule>
    <cfRule type="cellIs" dxfId="7332" priority="147" operator="equal">
      <formula>"k"</formula>
    </cfRule>
    <cfRule type="cellIs" dxfId="7331" priority="148" operator="equal">
      <formula>"u"</formula>
    </cfRule>
    <cfRule type="cellIs" dxfId="7330" priority="149" operator="equal">
      <formula>"f"</formula>
    </cfRule>
    <cfRule type="cellIs" dxfId="7329" priority="150" operator="equal">
      <formula>9</formula>
    </cfRule>
    <cfRule type="cellIs" dxfId="7328" priority="151" operator="equal">
      <formula>8</formula>
    </cfRule>
    <cfRule type="cellIs" dxfId="7327" priority="152" operator="equal">
      <formula>5</formula>
    </cfRule>
    <cfRule type="cellIs" dxfId="7326" priority="153" operator="equal">
      <formula>3</formula>
    </cfRule>
    <cfRule type="cellIs" dxfId="7325" priority="154" operator="equal">
      <formula>6</formula>
    </cfRule>
    <cfRule type="cellIs" dxfId="7324" priority="155" operator="equal">
      <formula>4</formula>
    </cfRule>
    <cfRule type="cellIs" dxfId="7323" priority="156" operator="equal">
      <formula>2</formula>
    </cfRule>
    <cfRule type="cellIs" dxfId="7322" priority="157" operator="equal">
      <formula>7</formula>
    </cfRule>
    <cfRule type="cellIs" dxfId="7321" priority="158" operator="equal">
      <formula>1</formula>
    </cfRule>
  </conditionalFormatting>
  <conditionalFormatting sqref="H5:H36">
    <cfRule type="cellIs" dxfId="7320" priority="133" operator="equal">
      <formula>"a"</formula>
    </cfRule>
    <cfRule type="cellIs" dxfId="7319" priority="134" operator="equal">
      <formula>"k"</formula>
    </cfRule>
    <cfRule type="cellIs" dxfId="7318" priority="135" operator="equal">
      <formula>"u"</formula>
    </cfRule>
    <cfRule type="cellIs" dxfId="7317" priority="136" operator="equal">
      <formula>"f"</formula>
    </cfRule>
    <cfRule type="cellIs" dxfId="7316" priority="137" operator="equal">
      <formula>9</formula>
    </cfRule>
    <cfRule type="cellIs" dxfId="7315" priority="138" operator="equal">
      <formula>8</formula>
    </cfRule>
    <cfRule type="cellIs" dxfId="7314" priority="139" operator="equal">
      <formula>5</formula>
    </cfRule>
    <cfRule type="cellIs" dxfId="7313" priority="140" operator="equal">
      <formula>3</formula>
    </cfRule>
    <cfRule type="cellIs" dxfId="7312" priority="141" operator="equal">
      <formula>6</formula>
    </cfRule>
    <cfRule type="cellIs" dxfId="7311" priority="142" operator="equal">
      <formula>4</formula>
    </cfRule>
    <cfRule type="cellIs" dxfId="7310" priority="143" operator="equal">
      <formula>2</formula>
    </cfRule>
    <cfRule type="cellIs" dxfId="7309" priority="144" operator="equal">
      <formula>7</formula>
    </cfRule>
    <cfRule type="cellIs" dxfId="7308" priority="145" operator="equal">
      <formula>1</formula>
    </cfRule>
  </conditionalFormatting>
  <conditionalFormatting sqref="K5:K36">
    <cfRule type="cellIs" dxfId="7307" priority="120" operator="equal">
      <formula>"a"</formula>
    </cfRule>
    <cfRule type="cellIs" dxfId="7306" priority="121" operator="equal">
      <formula>"k"</formula>
    </cfRule>
    <cfRule type="cellIs" dxfId="7305" priority="122" operator="equal">
      <formula>"u"</formula>
    </cfRule>
    <cfRule type="cellIs" dxfId="7304" priority="123" operator="equal">
      <formula>"f"</formula>
    </cfRule>
    <cfRule type="cellIs" dxfId="7303" priority="124" operator="equal">
      <formula>9</formula>
    </cfRule>
    <cfRule type="cellIs" dxfId="7302" priority="125" operator="equal">
      <formula>8</formula>
    </cfRule>
    <cfRule type="cellIs" dxfId="7301" priority="126" operator="equal">
      <formula>5</formula>
    </cfRule>
    <cfRule type="cellIs" dxfId="7300" priority="127" operator="equal">
      <formula>3</formula>
    </cfRule>
    <cfRule type="cellIs" dxfId="7299" priority="128" operator="equal">
      <formula>6</formula>
    </cfRule>
    <cfRule type="cellIs" dxfId="7298" priority="129" operator="equal">
      <formula>4</formula>
    </cfRule>
    <cfRule type="cellIs" dxfId="7297" priority="130" operator="equal">
      <formula>2</formula>
    </cfRule>
    <cfRule type="cellIs" dxfId="7296" priority="131" operator="equal">
      <formula>7</formula>
    </cfRule>
    <cfRule type="cellIs" dxfId="7295" priority="132" operator="equal">
      <formula>1</formula>
    </cfRule>
  </conditionalFormatting>
  <conditionalFormatting sqref="N5:N36">
    <cfRule type="cellIs" dxfId="7294" priority="107" operator="equal">
      <formula>"a"</formula>
    </cfRule>
    <cfRule type="cellIs" dxfId="7293" priority="108" operator="equal">
      <formula>"k"</formula>
    </cfRule>
    <cfRule type="cellIs" dxfId="7292" priority="109" operator="equal">
      <formula>"u"</formula>
    </cfRule>
    <cfRule type="cellIs" dxfId="7291" priority="110" operator="equal">
      <formula>"f"</formula>
    </cfRule>
    <cfRule type="cellIs" dxfId="7290" priority="111" operator="equal">
      <formula>9</formula>
    </cfRule>
    <cfRule type="cellIs" dxfId="7289" priority="112" operator="equal">
      <formula>8</formula>
    </cfRule>
    <cfRule type="cellIs" dxfId="7288" priority="113" operator="equal">
      <formula>5</formula>
    </cfRule>
    <cfRule type="cellIs" dxfId="7287" priority="114" operator="equal">
      <formula>3</formula>
    </cfRule>
    <cfRule type="cellIs" dxfId="7286" priority="115" operator="equal">
      <formula>6</formula>
    </cfRule>
    <cfRule type="cellIs" dxfId="7285" priority="116" operator="equal">
      <formula>4</formula>
    </cfRule>
    <cfRule type="cellIs" dxfId="7284" priority="117" operator="equal">
      <formula>2</formula>
    </cfRule>
    <cfRule type="cellIs" dxfId="7283" priority="118" operator="equal">
      <formula>7</formula>
    </cfRule>
    <cfRule type="cellIs" dxfId="7282" priority="119" operator="equal">
      <formula>1</formula>
    </cfRule>
  </conditionalFormatting>
  <conditionalFormatting sqref="Q5:Q36">
    <cfRule type="cellIs" dxfId="7281" priority="94" operator="equal">
      <formula>"a"</formula>
    </cfRule>
    <cfRule type="cellIs" dxfId="7280" priority="95" operator="equal">
      <formula>"k"</formula>
    </cfRule>
    <cfRule type="cellIs" dxfId="7279" priority="96" operator="equal">
      <formula>"u"</formula>
    </cfRule>
    <cfRule type="cellIs" dxfId="7278" priority="97" operator="equal">
      <formula>"f"</formula>
    </cfRule>
    <cfRule type="cellIs" dxfId="7277" priority="98" operator="equal">
      <formula>9</formula>
    </cfRule>
    <cfRule type="cellIs" dxfId="7276" priority="99" operator="equal">
      <formula>8</formula>
    </cfRule>
    <cfRule type="cellIs" dxfId="7275" priority="100" operator="equal">
      <formula>5</formula>
    </cfRule>
    <cfRule type="cellIs" dxfId="7274" priority="101" operator="equal">
      <formula>3</formula>
    </cfRule>
    <cfRule type="cellIs" dxfId="7273" priority="102" operator="equal">
      <formula>6</formula>
    </cfRule>
    <cfRule type="cellIs" dxfId="7272" priority="103" operator="equal">
      <formula>4</formula>
    </cfRule>
    <cfRule type="cellIs" dxfId="7271" priority="104" operator="equal">
      <formula>2</formula>
    </cfRule>
    <cfRule type="cellIs" dxfId="7270" priority="105" operator="equal">
      <formula>7</formula>
    </cfRule>
    <cfRule type="cellIs" dxfId="7269" priority="106" operator="equal">
      <formula>1</formula>
    </cfRule>
  </conditionalFormatting>
  <conditionalFormatting sqref="T5:T36">
    <cfRule type="cellIs" dxfId="7268" priority="81" operator="equal">
      <formula>"a"</formula>
    </cfRule>
    <cfRule type="cellIs" dxfId="7267" priority="82" operator="equal">
      <formula>"k"</formula>
    </cfRule>
    <cfRule type="cellIs" dxfId="7266" priority="83" operator="equal">
      <formula>"u"</formula>
    </cfRule>
    <cfRule type="cellIs" dxfId="7265" priority="84" operator="equal">
      <formula>"f"</formula>
    </cfRule>
    <cfRule type="cellIs" dxfId="7264" priority="85" operator="equal">
      <formula>9</formula>
    </cfRule>
    <cfRule type="cellIs" dxfId="7263" priority="86" operator="equal">
      <formula>8</formula>
    </cfRule>
    <cfRule type="cellIs" dxfId="7262" priority="87" operator="equal">
      <formula>5</formula>
    </cfRule>
    <cfRule type="cellIs" dxfId="7261" priority="88" operator="equal">
      <formula>3</formula>
    </cfRule>
    <cfRule type="cellIs" dxfId="7260" priority="89" operator="equal">
      <formula>6</formula>
    </cfRule>
    <cfRule type="cellIs" dxfId="7259" priority="90" operator="equal">
      <formula>4</formula>
    </cfRule>
    <cfRule type="cellIs" dxfId="7258" priority="91" operator="equal">
      <formula>2</formula>
    </cfRule>
    <cfRule type="cellIs" dxfId="7257" priority="92" operator="equal">
      <formula>7</formula>
    </cfRule>
    <cfRule type="cellIs" dxfId="7256" priority="93" operator="equal">
      <formula>1</formula>
    </cfRule>
  </conditionalFormatting>
  <conditionalFormatting sqref="F5:F36">
    <cfRule type="expression" dxfId="7255" priority="68">
      <formula>COUNTIF(E5,"a")</formula>
    </cfRule>
    <cfRule type="expression" dxfId="7254" priority="69">
      <formula>COUNTIF(E5,"9")</formula>
    </cfRule>
    <cfRule type="expression" dxfId="7253" priority="70">
      <formula>COUNTIF(E5,"k")</formula>
    </cfRule>
    <cfRule type="expression" dxfId="7252" priority="71">
      <formula>COUNTIF(E5,"u")</formula>
    </cfRule>
    <cfRule type="expression" dxfId="7251" priority="72">
      <formula>COUNTIF(E5,"f")</formula>
    </cfRule>
    <cfRule type="expression" dxfId="7250" priority="73">
      <formula>COUNTIF(E5,"8")</formula>
    </cfRule>
    <cfRule type="expression" dxfId="7249" priority="74">
      <formula>COUNTIF(E5,"7")</formula>
    </cfRule>
    <cfRule type="expression" dxfId="7248" priority="75">
      <formula>COUNTIF(E5,"3")</formula>
    </cfRule>
    <cfRule type="expression" dxfId="7247" priority="77">
      <formula>COUNTIF(E5,"5")</formula>
    </cfRule>
    <cfRule type="expression" dxfId="7246" priority="78">
      <formula>COUNTIF(E5,"2")</formula>
    </cfRule>
    <cfRule type="expression" dxfId="7245" priority="79">
      <formula>COUNTIF(E5,"4")</formula>
    </cfRule>
    <cfRule type="expression" dxfId="7244" priority="80">
      <formula>COUNTIF(E5,"1")</formula>
    </cfRule>
  </conditionalFormatting>
  <conditionalFormatting sqref="F5:F36">
    <cfRule type="expression" dxfId="7243" priority="76">
      <formula>COUNTIF(E5,"6")</formula>
    </cfRule>
  </conditionalFormatting>
  <conditionalFormatting sqref="I5:I36">
    <cfRule type="expression" dxfId="7242" priority="55">
      <formula>COUNTIF(H5,"a")</formula>
    </cfRule>
    <cfRule type="expression" dxfId="7241" priority="56">
      <formula>COUNTIF(H5,"9")</formula>
    </cfRule>
    <cfRule type="expression" dxfId="7240" priority="57">
      <formula>COUNTIF(H5,"k")</formula>
    </cfRule>
    <cfRule type="expression" dxfId="7239" priority="58">
      <formula>COUNTIF(H5,"u")</formula>
    </cfRule>
    <cfRule type="expression" dxfId="7238" priority="59">
      <formula>COUNTIF(H5,"f")</formula>
    </cfRule>
    <cfRule type="expression" dxfId="7237" priority="60">
      <formula>COUNTIF(H5,"8")</formula>
    </cfRule>
    <cfRule type="expression" dxfId="7236" priority="61">
      <formula>COUNTIF(H5,"7")</formula>
    </cfRule>
    <cfRule type="expression" dxfId="7235" priority="62">
      <formula>COUNTIF(H5,"3")</formula>
    </cfRule>
    <cfRule type="expression" dxfId="7234" priority="64">
      <formula>COUNTIF(H5,"5")</formula>
    </cfRule>
    <cfRule type="expression" dxfId="7233" priority="65">
      <formula>COUNTIF(H5,"2")</formula>
    </cfRule>
    <cfRule type="expression" dxfId="7232" priority="66">
      <formula>COUNTIF(H5,"4")</formula>
    </cfRule>
    <cfRule type="expression" dxfId="7231" priority="67">
      <formula>COUNTIF(H5,"1")</formula>
    </cfRule>
  </conditionalFormatting>
  <conditionalFormatting sqref="I5:I36">
    <cfRule type="expression" dxfId="7230" priority="63">
      <formula>COUNTIF(H5,"6")</formula>
    </cfRule>
  </conditionalFormatting>
  <conditionalFormatting sqref="L5:L36">
    <cfRule type="expression" dxfId="7229" priority="42">
      <formula>COUNTIF(K5,"a")</formula>
    </cfRule>
    <cfRule type="expression" dxfId="7228" priority="43">
      <formula>COUNTIF(K5,"9")</formula>
    </cfRule>
    <cfRule type="expression" dxfId="7227" priority="44">
      <formula>COUNTIF(K5,"k")</formula>
    </cfRule>
    <cfRule type="expression" dxfId="7226" priority="45">
      <formula>COUNTIF(K5,"u")</formula>
    </cfRule>
    <cfRule type="expression" dxfId="7225" priority="46">
      <formula>COUNTIF(K5,"f")</formula>
    </cfRule>
    <cfRule type="expression" dxfId="7224" priority="47">
      <formula>COUNTIF(K5,"8")</formula>
    </cfRule>
    <cfRule type="expression" dxfId="7223" priority="48">
      <formula>COUNTIF(K5,"7")</formula>
    </cfRule>
    <cfRule type="expression" dxfId="7222" priority="49">
      <formula>COUNTIF(K5,"3")</formula>
    </cfRule>
    <cfRule type="expression" dxfId="7221" priority="51">
      <formula>COUNTIF(K5,"5")</formula>
    </cfRule>
    <cfRule type="expression" dxfId="7220" priority="52">
      <formula>COUNTIF(K5,"2")</formula>
    </cfRule>
    <cfRule type="expression" dxfId="7219" priority="53">
      <formula>COUNTIF(K5,"4")</formula>
    </cfRule>
    <cfRule type="expression" dxfId="7218" priority="54">
      <formula>COUNTIF(K5,"1")</formula>
    </cfRule>
  </conditionalFormatting>
  <conditionalFormatting sqref="L5:L36">
    <cfRule type="expression" dxfId="7217" priority="50">
      <formula>COUNTIF(K5,"6")</formula>
    </cfRule>
  </conditionalFormatting>
  <conditionalFormatting sqref="O5:O36">
    <cfRule type="expression" dxfId="7216" priority="29">
      <formula>COUNTIF(N5,"a")</formula>
    </cfRule>
    <cfRule type="expression" dxfId="7215" priority="30">
      <formula>COUNTIF(N5,"9")</formula>
    </cfRule>
    <cfRule type="expression" dxfId="7214" priority="31">
      <formula>COUNTIF(N5,"k")</formula>
    </cfRule>
    <cfRule type="expression" dxfId="7213" priority="32">
      <formula>COUNTIF(N5,"u")</formula>
    </cfRule>
    <cfRule type="expression" dxfId="7212" priority="33">
      <formula>COUNTIF(N5,"f")</formula>
    </cfRule>
    <cfRule type="expression" dxfId="7211" priority="34">
      <formula>COUNTIF(N5,"8")</formula>
    </cfRule>
    <cfRule type="expression" dxfId="7210" priority="35">
      <formula>COUNTIF(N5,"7")</formula>
    </cfRule>
    <cfRule type="expression" dxfId="7209" priority="36">
      <formula>COUNTIF(N5,"3")</formula>
    </cfRule>
    <cfRule type="expression" dxfId="7208" priority="38">
      <formula>COUNTIF(N5,"5")</formula>
    </cfRule>
    <cfRule type="expression" dxfId="7207" priority="39">
      <formula>COUNTIF(N5,"2")</formula>
    </cfRule>
    <cfRule type="expression" dxfId="7206" priority="40">
      <formula>COUNTIF(N5,"4")</formula>
    </cfRule>
    <cfRule type="expression" dxfId="7205" priority="41">
      <formula>COUNTIF(N5,"1")</formula>
    </cfRule>
  </conditionalFormatting>
  <conditionalFormatting sqref="O5:O36">
    <cfRule type="expression" dxfId="7204" priority="37">
      <formula>COUNTIF(N5,"6")</formula>
    </cfRule>
  </conditionalFormatting>
  <conditionalFormatting sqref="R5:R36">
    <cfRule type="expression" dxfId="7203" priority="16">
      <formula>COUNTIF(Q5,"a")</formula>
    </cfRule>
    <cfRule type="expression" dxfId="7202" priority="17">
      <formula>COUNTIF(Q5,"9")</formula>
    </cfRule>
    <cfRule type="expression" dxfId="7201" priority="18">
      <formula>COUNTIF(Q5,"k")</formula>
    </cfRule>
    <cfRule type="expression" dxfId="7200" priority="19">
      <formula>COUNTIF(Q5,"u")</formula>
    </cfRule>
    <cfRule type="expression" dxfId="7199" priority="20">
      <formula>COUNTIF(Q5,"f")</formula>
    </cfRule>
    <cfRule type="expression" dxfId="7198" priority="21">
      <formula>COUNTIF(Q5,"8")</formula>
    </cfRule>
    <cfRule type="expression" dxfId="7197" priority="22">
      <formula>COUNTIF(Q5,"7")</formula>
    </cfRule>
    <cfRule type="expression" dxfId="7196" priority="23">
      <formula>COUNTIF(Q5,"3")</formula>
    </cfRule>
    <cfRule type="expression" dxfId="7195" priority="25">
      <formula>COUNTIF(Q5,"5")</formula>
    </cfRule>
    <cfRule type="expression" dxfId="7194" priority="26">
      <formula>COUNTIF(Q5,"2")</formula>
    </cfRule>
    <cfRule type="expression" dxfId="7193" priority="27">
      <formula>COUNTIF(Q5,"4")</formula>
    </cfRule>
    <cfRule type="expression" dxfId="7192" priority="28">
      <formula>COUNTIF(Q5,"1")</formula>
    </cfRule>
  </conditionalFormatting>
  <conditionalFormatting sqref="R5:R36">
    <cfRule type="expression" dxfId="7191" priority="24">
      <formula>COUNTIF(Q5,"6")</formula>
    </cfRule>
  </conditionalFormatting>
  <conditionalFormatting sqref="U5:U36">
    <cfRule type="expression" dxfId="7190" priority="3">
      <formula>COUNTIF(T5,"a")</formula>
    </cfRule>
    <cfRule type="expression" dxfId="7189" priority="4">
      <formula>COUNTIF(T5,"9")</formula>
    </cfRule>
    <cfRule type="expression" dxfId="7188" priority="5">
      <formula>COUNTIF(T5,"k")</formula>
    </cfRule>
    <cfRule type="expression" dxfId="7187" priority="6">
      <formula>COUNTIF(T5,"u")</formula>
    </cfRule>
    <cfRule type="expression" dxfId="7186" priority="7">
      <formula>COUNTIF(T5,"f")</formula>
    </cfRule>
    <cfRule type="expression" dxfId="7185" priority="8">
      <formula>COUNTIF(T5,"8")</formula>
    </cfRule>
    <cfRule type="expression" dxfId="7184" priority="9">
      <formula>COUNTIF(T5,"7")</formula>
    </cfRule>
    <cfRule type="expression" dxfId="7183" priority="10">
      <formula>COUNTIF(T5,"3")</formula>
    </cfRule>
    <cfRule type="expression" dxfId="7182" priority="12">
      <formula>COUNTIF(T5,"5")</formula>
    </cfRule>
    <cfRule type="expression" dxfId="7181" priority="13">
      <formula>COUNTIF(T5,"2")</formula>
    </cfRule>
    <cfRule type="expression" dxfId="7180" priority="14">
      <formula>COUNTIF(T5,"4")</formula>
    </cfRule>
    <cfRule type="expression" dxfId="7179" priority="15">
      <formula>COUNTIF(T5,"1")</formula>
    </cfRule>
  </conditionalFormatting>
  <conditionalFormatting sqref="U5:U36">
    <cfRule type="expression" dxfId="7178" priority="11">
      <formula>COUNTIF(T5,"6")</formula>
    </cfRule>
  </conditionalFormatting>
  <conditionalFormatting sqref="V32">
    <cfRule type="cellIs" dxfId="7177" priority="1" operator="lessThan">
      <formula>0</formula>
    </cfRule>
    <cfRule type="cellIs" dxfId="717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A2E3DC08-C069-3447-97BF-FBD6BBAA5C98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18EB-4E55-9342-BA80-E889519DB540}">
  <sheetPr codeName="Tabelle60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15</v>
      </c>
      <c r="Q1" s="176"/>
      <c r="R1" s="79">
        <f>DATE(V1,1,7*P1-3-WEEKDAY(DATE(V1,,),3))</f>
        <v>45390</v>
      </c>
      <c r="S1" s="80" t="s">
        <v>1</v>
      </c>
      <c r="T1" s="177">
        <f>DATE(V1,1,7*P1+3-WEEKDAY(DATE(V1,,),3))</f>
        <v>45396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45390</v>
      </c>
      <c r="B2" s="178"/>
      <c r="C2" s="178"/>
      <c r="D2" s="178">
        <f>A2+1</f>
        <v>45391</v>
      </c>
      <c r="E2" s="179"/>
      <c r="F2" s="179"/>
      <c r="G2" s="178">
        <f>D2+1</f>
        <v>45392</v>
      </c>
      <c r="H2" s="179"/>
      <c r="I2" s="179"/>
      <c r="J2" s="178">
        <f>G2+1</f>
        <v>45393</v>
      </c>
      <c r="K2" s="179"/>
      <c r="L2" s="179"/>
      <c r="M2" s="178">
        <f>J2+1</f>
        <v>45394</v>
      </c>
      <c r="N2" s="179"/>
      <c r="O2" s="179"/>
      <c r="P2" s="178">
        <f>M2+1</f>
        <v>45395</v>
      </c>
      <c r="Q2" s="179"/>
      <c r="R2" s="179"/>
      <c r="S2" s="178">
        <f>P2+1</f>
        <v>45396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45390</v>
      </c>
      <c r="B3" s="168"/>
      <c r="C3" s="168"/>
      <c r="D3" s="168">
        <f>A3+1</f>
        <v>45391</v>
      </c>
      <c r="E3" s="168"/>
      <c r="F3" s="168"/>
      <c r="G3" s="168">
        <f>D3+1</f>
        <v>45392</v>
      </c>
      <c r="H3" s="168"/>
      <c r="I3" s="168"/>
      <c r="J3" s="168">
        <f>G3+1</f>
        <v>45393</v>
      </c>
      <c r="K3" s="168"/>
      <c r="L3" s="168"/>
      <c r="M3" s="168">
        <f>J3+1</f>
        <v>45394</v>
      </c>
      <c r="N3" s="168"/>
      <c r="O3" s="168"/>
      <c r="P3" s="168">
        <f>M3+1</f>
        <v>45395</v>
      </c>
      <c r="Q3" s="168"/>
      <c r="R3" s="168"/>
      <c r="S3" s="168">
        <f>P3+1</f>
        <v>45396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45390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45391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45392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45393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45394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45395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45396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14'!V32</f>
        <v>-560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-600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175" priority="159">
      <formula>COUNTIF(B5,"a")</formula>
    </cfRule>
    <cfRule type="expression" dxfId="7174" priority="161">
      <formula>COUNTIF(B5,"9")</formula>
    </cfRule>
    <cfRule type="expression" dxfId="7173" priority="163">
      <formula>COUNTIF(B5,"k")</formula>
    </cfRule>
    <cfRule type="expression" dxfId="7172" priority="164">
      <formula>COUNTIF(B5,"u")</formula>
    </cfRule>
    <cfRule type="expression" dxfId="7171" priority="167">
      <formula>COUNTIF(B5,"f")</formula>
    </cfRule>
    <cfRule type="expression" dxfId="7170" priority="168">
      <formula>COUNTIF(B5,"8")</formula>
    </cfRule>
    <cfRule type="expression" dxfId="7169" priority="169">
      <formula>COUNTIF(B5,"7")</formula>
    </cfRule>
    <cfRule type="expression" dxfId="7168" priority="170">
      <formula>COUNTIF(B5,"3")</formula>
    </cfRule>
    <cfRule type="expression" dxfId="7167" priority="181">
      <formula>COUNTIF(B5,"5")</formula>
    </cfRule>
    <cfRule type="expression" dxfId="7166" priority="182">
      <formula>COUNTIF(B5,"2")</formula>
    </cfRule>
    <cfRule type="expression" dxfId="7165" priority="183">
      <formula>COUNTIF(B5,"4")</formula>
    </cfRule>
    <cfRule type="expression" dxfId="7164" priority="184">
      <formula>COUNTIF(B5,"1")</formula>
    </cfRule>
  </conditionalFormatting>
  <conditionalFormatting sqref="B5:B36">
    <cfRule type="cellIs" dxfId="7163" priority="160" operator="equal">
      <formula>"a"</formula>
    </cfRule>
    <cfRule type="cellIs" dxfId="7162" priority="162" operator="equal">
      <formula>"k"</formula>
    </cfRule>
    <cfRule type="cellIs" dxfId="7161" priority="165" operator="equal">
      <formula>"u"</formula>
    </cfRule>
    <cfRule type="cellIs" dxfId="7160" priority="166" operator="equal">
      <formula>"f"</formula>
    </cfRule>
    <cfRule type="cellIs" dxfId="7159" priority="171" operator="equal">
      <formula>9</formula>
    </cfRule>
    <cfRule type="cellIs" dxfId="7158" priority="172" operator="equal">
      <formula>8</formula>
    </cfRule>
    <cfRule type="cellIs" dxfId="7157" priority="173" operator="equal">
      <formula>5</formula>
    </cfRule>
    <cfRule type="cellIs" dxfId="7156" priority="174" operator="equal">
      <formula>3</formula>
    </cfRule>
    <cfRule type="cellIs" dxfId="7155" priority="176" operator="equal">
      <formula>6</formula>
    </cfRule>
    <cfRule type="cellIs" dxfId="7154" priority="177" operator="equal">
      <formula>4</formula>
    </cfRule>
    <cfRule type="cellIs" dxfId="7153" priority="178" operator="equal">
      <formula>2</formula>
    </cfRule>
    <cfRule type="cellIs" dxfId="7152" priority="179" operator="equal">
      <formula>7</formula>
    </cfRule>
    <cfRule type="cellIs" dxfId="7151" priority="180" operator="equal">
      <formula>1</formula>
    </cfRule>
  </conditionalFormatting>
  <conditionalFormatting sqref="C5:C36">
    <cfRule type="expression" dxfId="7150" priority="175">
      <formula>COUNTIF(B5,"6")</formula>
    </cfRule>
  </conditionalFormatting>
  <conditionalFormatting sqref="E5:E36">
    <cfRule type="cellIs" dxfId="7149" priority="146" operator="equal">
      <formula>"a"</formula>
    </cfRule>
    <cfRule type="cellIs" dxfId="7148" priority="147" operator="equal">
      <formula>"k"</formula>
    </cfRule>
    <cfRule type="cellIs" dxfId="7147" priority="148" operator="equal">
      <formula>"u"</formula>
    </cfRule>
    <cfRule type="cellIs" dxfId="7146" priority="149" operator="equal">
      <formula>"f"</formula>
    </cfRule>
    <cfRule type="cellIs" dxfId="7145" priority="150" operator="equal">
      <formula>9</formula>
    </cfRule>
    <cfRule type="cellIs" dxfId="7144" priority="151" operator="equal">
      <formula>8</formula>
    </cfRule>
    <cfRule type="cellIs" dxfId="7143" priority="152" operator="equal">
      <formula>5</formula>
    </cfRule>
    <cfRule type="cellIs" dxfId="7142" priority="153" operator="equal">
      <formula>3</formula>
    </cfRule>
    <cfRule type="cellIs" dxfId="7141" priority="154" operator="equal">
      <formula>6</formula>
    </cfRule>
    <cfRule type="cellIs" dxfId="7140" priority="155" operator="equal">
      <formula>4</formula>
    </cfRule>
    <cfRule type="cellIs" dxfId="7139" priority="156" operator="equal">
      <formula>2</formula>
    </cfRule>
    <cfRule type="cellIs" dxfId="7138" priority="157" operator="equal">
      <formula>7</formula>
    </cfRule>
    <cfRule type="cellIs" dxfId="7137" priority="158" operator="equal">
      <formula>1</formula>
    </cfRule>
  </conditionalFormatting>
  <conditionalFormatting sqref="H5:H36">
    <cfRule type="cellIs" dxfId="7136" priority="133" operator="equal">
      <formula>"a"</formula>
    </cfRule>
    <cfRule type="cellIs" dxfId="7135" priority="134" operator="equal">
      <formula>"k"</formula>
    </cfRule>
    <cfRule type="cellIs" dxfId="7134" priority="135" operator="equal">
      <formula>"u"</formula>
    </cfRule>
    <cfRule type="cellIs" dxfId="7133" priority="136" operator="equal">
      <formula>"f"</formula>
    </cfRule>
    <cfRule type="cellIs" dxfId="7132" priority="137" operator="equal">
      <formula>9</formula>
    </cfRule>
    <cfRule type="cellIs" dxfId="7131" priority="138" operator="equal">
      <formula>8</formula>
    </cfRule>
    <cfRule type="cellIs" dxfId="7130" priority="139" operator="equal">
      <formula>5</formula>
    </cfRule>
    <cfRule type="cellIs" dxfId="7129" priority="140" operator="equal">
      <formula>3</formula>
    </cfRule>
    <cfRule type="cellIs" dxfId="7128" priority="141" operator="equal">
      <formula>6</formula>
    </cfRule>
    <cfRule type="cellIs" dxfId="7127" priority="142" operator="equal">
      <formula>4</formula>
    </cfRule>
    <cfRule type="cellIs" dxfId="7126" priority="143" operator="equal">
      <formula>2</formula>
    </cfRule>
    <cfRule type="cellIs" dxfId="7125" priority="144" operator="equal">
      <formula>7</formula>
    </cfRule>
    <cfRule type="cellIs" dxfId="7124" priority="145" operator="equal">
      <formula>1</formula>
    </cfRule>
  </conditionalFormatting>
  <conditionalFormatting sqref="K5:K36">
    <cfRule type="cellIs" dxfId="7123" priority="120" operator="equal">
      <formula>"a"</formula>
    </cfRule>
    <cfRule type="cellIs" dxfId="7122" priority="121" operator="equal">
      <formula>"k"</formula>
    </cfRule>
    <cfRule type="cellIs" dxfId="7121" priority="122" operator="equal">
      <formula>"u"</formula>
    </cfRule>
    <cfRule type="cellIs" dxfId="7120" priority="123" operator="equal">
      <formula>"f"</formula>
    </cfRule>
    <cfRule type="cellIs" dxfId="7119" priority="124" operator="equal">
      <formula>9</formula>
    </cfRule>
    <cfRule type="cellIs" dxfId="7118" priority="125" operator="equal">
      <formula>8</formula>
    </cfRule>
    <cfRule type="cellIs" dxfId="7117" priority="126" operator="equal">
      <formula>5</formula>
    </cfRule>
    <cfRule type="cellIs" dxfId="7116" priority="127" operator="equal">
      <formula>3</formula>
    </cfRule>
    <cfRule type="cellIs" dxfId="7115" priority="128" operator="equal">
      <formula>6</formula>
    </cfRule>
    <cfRule type="cellIs" dxfId="7114" priority="129" operator="equal">
      <formula>4</formula>
    </cfRule>
    <cfRule type="cellIs" dxfId="7113" priority="130" operator="equal">
      <formula>2</formula>
    </cfRule>
    <cfRule type="cellIs" dxfId="7112" priority="131" operator="equal">
      <formula>7</formula>
    </cfRule>
    <cfRule type="cellIs" dxfId="7111" priority="132" operator="equal">
      <formula>1</formula>
    </cfRule>
  </conditionalFormatting>
  <conditionalFormatting sqref="N5:N36">
    <cfRule type="cellIs" dxfId="7110" priority="107" operator="equal">
      <formula>"a"</formula>
    </cfRule>
    <cfRule type="cellIs" dxfId="7109" priority="108" operator="equal">
      <formula>"k"</formula>
    </cfRule>
    <cfRule type="cellIs" dxfId="7108" priority="109" operator="equal">
      <formula>"u"</formula>
    </cfRule>
    <cfRule type="cellIs" dxfId="7107" priority="110" operator="equal">
      <formula>"f"</formula>
    </cfRule>
    <cfRule type="cellIs" dxfId="7106" priority="111" operator="equal">
      <formula>9</formula>
    </cfRule>
    <cfRule type="cellIs" dxfId="7105" priority="112" operator="equal">
      <formula>8</formula>
    </cfRule>
    <cfRule type="cellIs" dxfId="7104" priority="113" operator="equal">
      <formula>5</formula>
    </cfRule>
    <cfRule type="cellIs" dxfId="7103" priority="114" operator="equal">
      <formula>3</formula>
    </cfRule>
    <cfRule type="cellIs" dxfId="7102" priority="115" operator="equal">
      <formula>6</formula>
    </cfRule>
    <cfRule type="cellIs" dxfId="7101" priority="116" operator="equal">
      <formula>4</formula>
    </cfRule>
    <cfRule type="cellIs" dxfId="7100" priority="117" operator="equal">
      <formula>2</formula>
    </cfRule>
    <cfRule type="cellIs" dxfId="7099" priority="118" operator="equal">
      <formula>7</formula>
    </cfRule>
    <cfRule type="cellIs" dxfId="7098" priority="119" operator="equal">
      <formula>1</formula>
    </cfRule>
  </conditionalFormatting>
  <conditionalFormatting sqref="Q5:Q36">
    <cfRule type="cellIs" dxfId="7097" priority="94" operator="equal">
      <formula>"a"</formula>
    </cfRule>
    <cfRule type="cellIs" dxfId="7096" priority="95" operator="equal">
      <formula>"k"</formula>
    </cfRule>
    <cfRule type="cellIs" dxfId="7095" priority="96" operator="equal">
      <formula>"u"</formula>
    </cfRule>
    <cfRule type="cellIs" dxfId="7094" priority="97" operator="equal">
      <formula>"f"</formula>
    </cfRule>
    <cfRule type="cellIs" dxfId="7093" priority="98" operator="equal">
      <formula>9</formula>
    </cfRule>
    <cfRule type="cellIs" dxfId="7092" priority="99" operator="equal">
      <formula>8</formula>
    </cfRule>
    <cfRule type="cellIs" dxfId="7091" priority="100" operator="equal">
      <formula>5</formula>
    </cfRule>
    <cfRule type="cellIs" dxfId="7090" priority="101" operator="equal">
      <formula>3</formula>
    </cfRule>
    <cfRule type="cellIs" dxfId="7089" priority="102" operator="equal">
      <formula>6</formula>
    </cfRule>
    <cfRule type="cellIs" dxfId="7088" priority="103" operator="equal">
      <formula>4</formula>
    </cfRule>
    <cfRule type="cellIs" dxfId="7087" priority="104" operator="equal">
      <formula>2</formula>
    </cfRule>
    <cfRule type="cellIs" dxfId="7086" priority="105" operator="equal">
      <formula>7</formula>
    </cfRule>
    <cfRule type="cellIs" dxfId="7085" priority="106" operator="equal">
      <formula>1</formula>
    </cfRule>
  </conditionalFormatting>
  <conditionalFormatting sqref="T5:T36">
    <cfRule type="cellIs" dxfId="7084" priority="81" operator="equal">
      <formula>"a"</formula>
    </cfRule>
    <cfRule type="cellIs" dxfId="7083" priority="82" operator="equal">
      <formula>"k"</formula>
    </cfRule>
    <cfRule type="cellIs" dxfId="7082" priority="83" operator="equal">
      <formula>"u"</formula>
    </cfRule>
    <cfRule type="cellIs" dxfId="7081" priority="84" operator="equal">
      <formula>"f"</formula>
    </cfRule>
    <cfRule type="cellIs" dxfId="7080" priority="85" operator="equal">
      <formula>9</formula>
    </cfRule>
    <cfRule type="cellIs" dxfId="7079" priority="86" operator="equal">
      <formula>8</formula>
    </cfRule>
    <cfRule type="cellIs" dxfId="7078" priority="87" operator="equal">
      <formula>5</formula>
    </cfRule>
    <cfRule type="cellIs" dxfId="7077" priority="88" operator="equal">
      <formula>3</formula>
    </cfRule>
    <cfRule type="cellIs" dxfId="7076" priority="89" operator="equal">
      <formula>6</formula>
    </cfRule>
    <cfRule type="cellIs" dxfId="7075" priority="90" operator="equal">
      <formula>4</formula>
    </cfRule>
    <cfRule type="cellIs" dxfId="7074" priority="91" operator="equal">
      <formula>2</formula>
    </cfRule>
    <cfRule type="cellIs" dxfId="7073" priority="92" operator="equal">
      <formula>7</formula>
    </cfRule>
    <cfRule type="cellIs" dxfId="7072" priority="93" operator="equal">
      <formula>1</formula>
    </cfRule>
  </conditionalFormatting>
  <conditionalFormatting sqref="F5:F36">
    <cfRule type="expression" dxfId="7071" priority="68">
      <formula>COUNTIF(E5,"a")</formula>
    </cfRule>
    <cfRule type="expression" dxfId="7070" priority="69">
      <formula>COUNTIF(E5,"9")</formula>
    </cfRule>
    <cfRule type="expression" dxfId="7069" priority="70">
      <formula>COUNTIF(E5,"k")</formula>
    </cfRule>
    <cfRule type="expression" dxfId="7068" priority="71">
      <formula>COUNTIF(E5,"u")</formula>
    </cfRule>
    <cfRule type="expression" dxfId="7067" priority="72">
      <formula>COUNTIF(E5,"f")</formula>
    </cfRule>
    <cfRule type="expression" dxfId="7066" priority="73">
      <formula>COUNTIF(E5,"8")</formula>
    </cfRule>
    <cfRule type="expression" dxfId="7065" priority="74">
      <formula>COUNTIF(E5,"7")</formula>
    </cfRule>
    <cfRule type="expression" dxfId="7064" priority="75">
      <formula>COUNTIF(E5,"3")</formula>
    </cfRule>
    <cfRule type="expression" dxfId="7063" priority="77">
      <formula>COUNTIF(E5,"5")</formula>
    </cfRule>
    <cfRule type="expression" dxfId="7062" priority="78">
      <formula>COUNTIF(E5,"2")</formula>
    </cfRule>
    <cfRule type="expression" dxfId="7061" priority="79">
      <formula>COUNTIF(E5,"4")</formula>
    </cfRule>
    <cfRule type="expression" dxfId="7060" priority="80">
      <formula>COUNTIF(E5,"1")</formula>
    </cfRule>
  </conditionalFormatting>
  <conditionalFormatting sqref="F5:F36">
    <cfRule type="expression" dxfId="7059" priority="76">
      <formula>COUNTIF(E5,"6")</formula>
    </cfRule>
  </conditionalFormatting>
  <conditionalFormatting sqref="I5:I36">
    <cfRule type="expression" dxfId="7058" priority="55">
      <formula>COUNTIF(H5,"a")</formula>
    </cfRule>
    <cfRule type="expression" dxfId="7057" priority="56">
      <formula>COUNTIF(H5,"9")</formula>
    </cfRule>
    <cfRule type="expression" dxfId="7056" priority="57">
      <formula>COUNTIF(H5,"k")</formula>
    </cfRule>
    <cfRule type="expression" dxfId="7055" priority="58">
      <formula>COUNTIF(H5,"u")</formula>
    </cfRule>
    <cfRule type="expression" dxfId="7054" priority="59">
      <formula>COUNTIF(H5,"f")</formula>
    </cfRule>
    <cfRule type="expression" dxfId="7053" priority="60">
      <formula>COUNTIF(H5,"8")</formula>
    </cfRule>
    <cfRule type="expression" dxfId="7052" priority="61">
      <formula>COUNTIF(H5,"7")</formula>
    </cfRule>
    <cfRule type="expression" dxfId="7051" priority="62">
      <formula>COUNTIF(H5,"3")</formula>
    </cfRule>
    <cfRule type="expression" dxfId="7050" priority="64">
      <formula>COUNTIF(H5,"5")</formula>
    </cfRule>
    <cfRule type="expression" dxfId="7049" priority="65">
      <formula>COUNTIF(H5,"2")</formula>
    </cfRule>
    <cfRule type="expression" dxfId="7048" priority="66">
      <formula>COUNTIF(H5,"4")</formula>
    </cfRule>
    <cfRule type="expression" dxfId="7047" priority="67">
      <formula>COUNTIF(H5,"1")</formula>
    </cfRule>
  </conditionalFormatting>
  <conditionalFormatting sqref="I5:I36">
    <cfRule type="expression" dxfId="7046" priority="63">
      <formula>COUNTIF(H5,"6")</formula>
    </cfRule>
  </conditionalFormatting>
  <conditionalFormatting sqref="L5:L36">
    <cfRule type="expression" dxfId="7045" priority="42">
      <formula>COUNTIF(K5,"a")</formula>
    </cfRule>
    <cfRule type="expression" dxfId="7044" priority="43">
      <formula>COUNTIF(K5,"9")</formula>
    </cfRule>
    <cfRule type="expression" dxfId="7043" priority="44">
      <formula>COUNTIF(K5,"k")</formula>
    </cfRule>
    <cfRule type="expression" dxfId="7042" priority="45">
      <formula>COUNTIF(K5,"u")</formula>
    </cfRule>
    <cfRule type="expression" dxfId="7041" priority="46">
      <formula>COUNTIF(K5,"f")</formula>
    </cfRule>
    <cfRule type="expression" dxfId="7040" priority="47">
      <formula>COUNTIF(K5,"8")</formula>
    </cfRule>
    <cfRule type="expression" dxfId="7039" priority="48">
      <formula>COUNTIF(K5,"7")</formula>
    </cfRule>
    <cfRule type="expression" dxfId="7038" priority="49">
      <formula>COUNTIF(K5,"3")</formula>
    </cfRule>
    <cfRule type="expression" dxfId="7037" priority="51">
      <formula>COUNTIF(K5,"5")</formula>
    </cfRule>
    <cfRule type="expression" dxfId="7036" priority="52">
      <formula>COUNTIF(K5,"2")</formula>
    </cfRule>
    <cfRule type="expression" dxfId="7035" priority="53">
      <formula>COUNTIF(K5,"4")</formula>
    </cfRule>
    <cfRule type="expression" dxfId="7034" priority="54">
      <formula>COUNTIF(K5,"1")</formula>
    </cfRule>
  </conditionalFormatting>
  <conditionalFormatting sqref="L5:L36">
    <cfRule type="expression" dxfId="7033" priority="50">
      <formula>COUNTIF(K5,"6")</formula>
    </cfRule>
  </conditionalFormatting>
  <conditionalFormatting sqref="O5:O36">
    <cfRule type="expression" dxfId="7032" priority="29">
      <formula>COUNTIF(N5,"a")</formula>
    </cfRule>
    <cfRule type="expression" dxfId="7031" priority="30">
      <formula>COUNTIF(N5,"9")</formula>
    </cfRule>
    <cfRule type="expression" dxfId="7030" priority="31">
      <formula>COUNTIF(N5,"k")</formula>
    </cfRule>
    <cfRule type="expression" dxfId="7029" priority="32">
      <formula>COUNTIF(N5,"u")</formula>
    </cfRule>
    <cfRule type="expression" dxfId="7028" priority="33">
      <formula>COUNTIF(N5,"f")</formula>
    </cfRule>
    <cfRule type="expression" dxfId="7027" priority="34">
      <formula>COUNTIF(N5,"8")</formula>
    </cfRule>
    <cfRule type="expression" dxfId="7026" priority="35">
      <formula>COUNTIF(N5,"7")</formula>
    </cfRule>
    <cfRule type="expression" dxfId="7025" priority="36">
      <formula>COUNTIF(N5,"3")</formula>
    </cfRule>
    <cfRule type="expression" dxfId="7024" priority="38">
      <formula>COUNTIF(N5,"5")</formula>
    </cfRule>
    <cfRule type="expression" dxfId="7023" priority="39">
      <formula>COUNTIF(N5,"2")</formula>
    </cfRule>
    <cfRule type="expression" dxfId="7022" priority="40">
      <formula>COUNTIF(N5,"4")</formula>
    </cfRule>
    <cfRule type="expression" dxfId="7021" priority="41">
      <formula>COUNTIF(N5,"1")</formula>
    </cfRule>
  </conditionalFormatting>
  <conditionalFormatting sqref="O5:O36">
    <cfRule type="expression" dxfId="7020" priority="37">
      <formula>COUNTIF(N5,"6")</formula>
    </cfRule>
  </conditionalFormatting>
  <conditionalFormatting sqref="R5:R36">
    <cfRule type="expression" dxfId="7019" priority="16">
      <formula>COUNTIF(Q5,"a")</formula>
    </cfRule>
    <cfRule type="expression" dxfId="7018" priority="17">
      <formula>COUNTIF(Q5,"9")</formula>
    </cfRule>
    <cfRule type="expression" dxfId="7017" priority="18">
      <formula>COUNTIF(Q5,"k")</formula>
    </cfRule>
    <cfRule type="expression" dxfId="7016" priority="19">
      <formula>COUNTIF(Q5,"u")</formula>
    </cfRule>
    <cfRule type="expression" dxfId="7015" priority="20">
      <formula>COUNTIF(Q5,"f")</formula>
    </cfRule>
    <cfRule type="expression" dxfId="7014" priority="21">
      <formula>COUNTIF(Q5,"8")</formula>
    </cfRule>
    <cfRule type="expression" dxfId="7013" priority="22">
      <formula>COUNTIF(Q5,"7")</formula>
    </cfRule>
    <cfRule type="expression" dxfId="7012" priority="23">
      <formula>COUNTIF(Q5,"3")</formula>
    </cfRule>
    <cfRule type="expression" dxfId="7011" priority="25">
      <formula>COUNTIF(Q5,"5")</formula>
    </cfRule>
    <cfRule type="expression" dxfId="7010" priority="26">
      <formula>COUNTIF(Q5,"2")</formula>
    </cfRule>
    <cfRule type="expression" dxfId="7009" priority="27">
      <formula>COUNTIF(Q5,"4")</formula>
    </cfRule>
    <cfRule type="expression" dxfId="7008" priority="28">
      <formula>COUNTIF(Q5,"1")</formula>
    </cfRule>
  </conditionalFormatting>
  <conditionalFormatting sqref="R5:R36">
    <cfRule type="expression" dxfId="7007" priority="24">
      <formula>COUNTIF(Q5,"6")</formula>
    </cfRule>
  </conditionalFormatting>
  <conditionalFormatting sqref="U5:U36">
    <cfRule type="expression" dxfId="7006" priority="3">
      <formula>COUNTIF(T5,"a")</formula>
    </cfRule>
    <cfRule type="expression" dxfId="7005" priority="4">
      <formula>COUNTIF(T5,"9")</formula>
    </cfRule>
    <cfRule type="expression" dxfId="7004" priority="5">
      <formula>COUNTIF(T5,"k")</formula>
    </cfRule>
    <cfRule type="expression" dxfId="7003" priority="6">
      <formula>COUNTIF(T5,"u")</formula>
    </cfRule>
    <cfRule type="expression" dxfId="7002" priority="7">
      <formula>COUNTIF(T5,"f")</formula>
    </cfRule>
    <cfRule type="expression" dxfId="7001" priority="8">
      <formula>COUNTIF(T5,"8")</formula>
    </cfRule>
    <cfRule type="expression" dxfId="7000" priority="9">
      <formula>COUNTIF(T5,"7")</formula>
    </cfRule>
    <cfRule type="expression" dxfId="6999" priority="10">
      <formula>COUNTIF(T5,"3")</formula>
    </cfRule>
    <cfRule type="expression" dxfId="6998" priority="12">
      <formula>COUNTIF(T5,"5")</formula>
    </cfRule>
    <cfRule type="expression" dxfId="6997" priority="13">
      <formula>COUNTIF(T5,"2")</formula>
    </cfRule>
    <cfRule type="expression" dxfId="6996" priority="14">
      <formula>COUNTIF(T5,"4")</formula>
    </cfRule>
    <cfRule type="expression" dxfId="6995" priority="15">
      <formula>COUNTIF(T5,"1")</formula>
    </cfRule>
  </conditionalFormatting>
  <conditionalFormatting sqref="U5:U36">
    <cfRule type="expression" dxfId="6994" priority="11">
      <formula>COUNTIF(T5,"6")</formula>
    </cfRule>
  </conditionalFormatting>
  <conditionalFormatting sqref="V32">
    <cfRule type="cellIs" dxfId="6993" priority="1" operator="lessThan">
      <formula>0</formula>
    </cfRule>
    <cfRule type="cellIs" dxfId="699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FF31C659-BDBB-F347-8D93-535FB72FE76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4099B-112F-A245-9BD5-D2ED194390D1}">
  <sheetPr codeName="Tabelle61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16</v>
      </c>
      <c r="Q1" s="176"/>
      <c r="R1" s="79">
        <f>DATE(V1,1,7*P1-3-WEEKDAY(DATE(V1,,),3))</f>
        <v>45397</v>
      </c>
      <c r="S1" s="80" t="s">
        <v>1</v>
      </c>
      <c r="T1" s="177">
        <f>DATE(V1,1,7*P1+3-WEEKDAY(DATE(V1,,),3))</f>
        <v>45403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45397</v>
      </c>
      <c r="B2" s="178"/>
      <c r="C2" s="178"/>
      <c r="D2" s="178">
        <f>A2+1</f>
        <v>45398</v>
      </c>
      <c r="E2" s="179"/>
      <c r="F2" s="179"/>
      <c r="G2" s="178">
        <f>D2+1</f>
        <v>45399</v>
      </c>
      <c r="H2" s="179"/>
      <c r="I2" s="179"/>
      <c r="J2" s="178">
        <f>G2+1</f>
        <v>45400</v>
      </c>
      <c r="K2" s="179"/>
      <c r="L2" s="179"/>
      <c r="M2" s="178">
        <f>J2+1</f>
        <v>45401</v>
      </c>
      <c r="N2" s="179"/>
      <c r="O2" s="179"/>
      <c r="P2" s="178">
        <f>M2+1</f>
        <v>45402</v>
      </c>
      <c r="Q2" s="179"/>
      <c r="R2" s="179"/>
      <c r="S2" s="178">
        <f>P2+1</f>
        <v>45403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45397</v>
      </c>
      <c r="B3" s="168"/>
      <c r="C3" s="168"/>
      <c r="D3" s="168">
        <f>A3+1</f>
        <v>45398</v>
      </c>
      <c r="E3" s="168"/>
      <c r="F3" s="168"/>
      <c r="G3" s="168">
        <f>D3+1</f>
        <v>45399</v>
      </c>
      <c r="H3" s="168"/>
      <c r="I3" s="168"/>
      <c r="J3" s="168">
        <f>G3+1</f>
        <v>45400</v>
      </c>
      <c r="K3" s="168"/>
      <c r="L3" s="168"/>
      <c r="M3" s="168">
        <f>J3+1</f>
        <v>45401</v>
      </c>
      <c r="N3" s="168"/>
      <c r="O3" s="168"/>
      <c r="P3" s="168">
        <f>M3+1</f>
        <v>45402</v>
      </c>
      <c r="Q3" s="168"/>
      <c r="R3" s="168"/>
      <c r="S3" s="168">
        <f>P3+1</f>
        <v>45403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45397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45398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45399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45400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45401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45402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45403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15'!V32</f>
        <v>-600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-640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991" priority="159">
      <formula>COUNTIF(B5,"a")</formula>
    </cfRule>
    <cfRule type="expression" dxfId="6990" priority="161">
      <formula>COUNTIF(B5,"9")</formula>
    </cfRule>
    <cfRule type="expression" dxfId="6989" priority="163">
      <formula>COUNTIF(B5,"k")</formula>
    </cfRule>
    <cfRule type="expression" dxfId="6988" priority="164">
      <formula>COUNTIF(B5,"u")</formula>
    </cfRule>
    <cfRule type="expression" dxfId="6987" priority="167">
      <formula>COUNTIF(B5,"f")</formula>
    </cfRule>
    <cfRule type="expression" dxfId="6986" priority="168">
      <formula>COUNTIF(B5,"8")</formula>
    </cfRule>
    <cfRule type="expression" dxfId="6985" priority="169">
      <formula>COUNTIF(B5,"7")</formula>
    </cfRule>
    <cfRule type="expression" dxfId="6984" priority="170">
      <formula>COUNTIF(B5,"3")</formula>
    </cfRule>
    <cfRule type="expression" dxfId="6983" priority="181">
      <formula>COUNTIF(B5,"5")</formula>
    </cfRule>
    <cfRule type="expression" dxfId="6982" priority="182">
      <formula>COUNTIF(B5,"2")</formula>
    </cfRule>
    <cfRule type="expression" dxfId="6981" priority="183">
      <formula>COUNTIF(B5,"4")</formula>
    </cfRule>
    <cfRule type="expression" dxfId="6980" priority="184">
      <formula>COUNTIF(B5,"1")</formula>
    </cfRule>
  </conditionalFormatting>
  <conditionalFormatting sqref="B5:B36">
    <cfRule type="cellIs" dxfId="6979" priority="160" operator="equal">
      <formula>"a"</formula>
    </cfRule>
    <cfRule type="cellIs" dxfId="6978" priority="162" operator="equal">
      <formula>"k"</formula>
    </cfRule>
    <cfRule type="cellIs" dxfId="6977" priority="165" operator="equal">
      <formula>"u"</formula>
    </cfRule>
    <cfRule type="cellIs" dxfId="6976" priority="166" operator="equal">
      <formula>"f"</formula>
    </cfRule>
    <cfRule type="cellIs" dxfId="6975" priority="171" operator="equal">
      <formula>9</formula>
    </cfRule>
    <cfRule type="cellIs" dxfId="6974" priority="172" operator="equal">
      <formula>8</formula>
    </cfRule>
    <cfRule type="cellIs" dxfId="6973" priority="173" operator="equal">
      <formula>5</formula>
    </cfRule>
    <cfRule type="cellIs" dxfId="6972" priority="174" operator="equal">
      <formula>3</formula>
    </cfRule>
    <cfRule type="cellIs" dxfId="6971" priority="176" operator="equal">
      <formula>6</formula>
    </cfRule>
    <cfRule type="cellIs" dxfId="6970" priority="177" operator="equal">
      <formula>4</formula>
    </cfRule>
    <cfRule type="cellIs" dxfId="6969" priority="178" operator="equal">
      <formula>2</formula>
    </cfRule>
    <cfRule type="cellIs" dxfId="6968" priority="179" operator="equal">
      <formula>7</formula>
    </cfRule>
    <cfRule type="cellIs" dxfId="6967" priority="180" operator="equal">
      <formula>1</formula>
    </cfRule>
  </conditionalFormatting>
  <conditionalFormatting sqref="C5:C36">
    <cfRule type="expression" dxfId="6966" priority="175">
      <formula>COUNTIF(B5,"6")</formula>
    </cfRule>
  </conditionalFormatting>
  <conditionalFormatting sqref="E5:E36">
    <cfRule type="cellIs" dxfId="6965" priority="146" operator="equal">
      <formula>"a"</formula>
    </cfRule>
    <cfRule type="cellIs" dxfId="6964" priority="147" operator="equal">
      <formula>"k"</formula>
    </cfRule>
    <cfRule type="cellIs" dxfId="6963" priority="148" operator="equal">
      <formula>"u"</formula>
    </cfRule>
    <cfRule type="cellIs" dxfId="6962" priority="149" operator="equal">
      <formula>"f"</formula>
    </cfRule>
    <cfRule type="cellIs" dxfId="6961" priority="150" operator="equal">
      <formula>9</formula>
    </cfRule>
    <cfRule type="cellIs" dxfId="6960" priority="151" operator="equal">
      <formula>8</formula>
    </cfRule>
    <cfRule type="cellIs" dxfId="6959" priority="152" operator="equal">
      <formula>5</formula>
    </cfRule>
    <cfRule type="cellIs" dxfId="6958" priority="153" operator="equal">
      <formula>3</formula>
    </cfRule>
    <cfRule type="cellIs" dxfId="6957" priority="154" operator="equal">
      <formula>6</formula>
    </cfRule>
    <cfRule type="cellIs" dxfId="6956" priority="155" operator="equal">
      <formula>4</formula>
    </cfRule>
    <cfRule type="cellIs" dxfId="6955" priority="156" operator="equal">
      <formula>2</formula>
    </cfRule>
    <cfRule type="cellIs" dxfId="6954" priority="157" operator="equal">
      <formula>7</formula>
    </cfRule>
    <cfRule type="cellIs" dxfId="6953" priority="158" operator="equal">
      <formula>1</formula>
    </cfRule>
  </conditionalFormatting>
  <conditionalFormatting sqref="H5:H36">
    <cfRule type="cellIs" dxfId="6952" priority="133" operator="equal">
      <formula>"a"</formula>
    </cfRule>
    <cfRule type="cellIs" dxfId="6951" priority="134" operator="equal">
      <formula>"k"</formula>
    </cfRule>
    <cfRule type="cellIs" dxfId="6950" priority="135" operator="equal">
      <formula>"u"</formula>
    </cfRule>
    <cfRule type="cellIs" dxfId="6949" priority="136" operator="equal">
      <formula>"f"</formula>
    </cfRule>
    <cfRule type="cellIs" dxfId="6948" priority="137" operator="equal">
      <formula>9</formula>
    </cfRule>
    <cfRule type="cellIs" dxfId="6947" priority="138" operator="equal">
      <formula>8</formula>
    </cfRule>
    <cfRule type="cellIs" dxfId="6946" priority="139" operator="equal">
      <formula>5</formula>
    </cfRule>
    <cfRule type="cellIs" dxfId="6945" priority="140" operator="equal">
      <formula>3</formula>
    </cfRule>
    <cfRule type="cellIs" dxfId="6944" priority="141" operator="equal">
      <formula>6</formula>
    </cfRule>
    <cfRule type="cellIs" dxfId="6943" priority="142" operator="equal">
      <formula>4</formula>
    </cfRule>
    <cfRule type="cellIs" dxfId="6942" priority="143" operator="equal">
      <formula>2</formula>
    </cfRule>
    <cfRule type="cellIs" dxfId="6941" priority="144" operator="equal">
      <formula>7</formula>
    </cfRule>
    <cfRule type="cellIs" dxfId="6940" priority="145" operator="equal">
      <formula>1</formula>
    </cfRule>
  </conditionalFormatting>
  <conditionalFormatting sqref="K5:K36">
    <cfRule type="cellIs" dxfId="6939" priority="120" operator="equal">
      <formula>"a"</formula>
    </cfRule>
    <cfRule type="cellIs" dxfId="6938" priority="121" operator="equal">
      <formula>"k"</formula>
    </cfRule>
    <cfRule type="cellIs" dxfId="6937" priority="122" operator="equal">
      <formula>"u"</formula>
    </cfRule>
    <cfRule type="cellIs" dxfId="6936" priority="123" operator="equal">
      <formula>"f"</formula>
    </cfRule>
    <cfRule type="cellIs" dxfId="6935" priority="124" operator="equal">
      <formula>9</formula>
    </cfRule>
    <cfRule type="cellIs" dxfId="6934" priority="125" operator="equal">
      <formula>8</formula>
    </cfRule>
    <cfRule type="cellIs" dxfId="6933" priority="126" operator="equal">
      <formula>5</formula>
    </cfRule>
    <cfRule type="cellIs" dxfId="6932" priority="127" operator="equal">
      <formula>3</formula>
    </cfRule>
    <cfRule type="cellIs" dxfId="6931" priority="128" operator="equal">
      <formula>6</formula>
    </cfRule>
    <cfRule type="cellIs" dxfId="6930" priority="129" operator="equal">
      <formula>4</formula>
    </cfRule>
    <cfRule type="cellIs" dxfId="6929" priority="130" operator="equal">
      <formula>2</formula>
    </cfRule>
    <cfRule type="cellIs" dxfId="6928" priority="131" operator="equal">
      <formula>7</formula>
    </cfRule>
    <cfRule type="cellIs" dxfId="6927" priority="132" operator="equal">
      <formula>1</formula>
    </cfRule>
  </conditionalFormatting>
  <conditionalFormatting sqref="N5:N36">
    <cfRule type="cellIs" dxfId="6926" priority="107" operator="equal">
      <formula>"a"</formula>
    </cfRule>
    <cfRule type="cellIs" dxfId="6925" priority="108" operator="equal">
      <formula>"k"</formula>
    </cfRule>
    <cfRule type="cellIs" dxfId="6924" priority="109" operator="equal">
      <formula>"u"</formula>
    </cfRule>
    <cfRule type="cellIs" dxfId="6923" priority="110" operator="equal">
      <formula>"f"</formula>
    </cfRule>
    <cfRule type="cellIs" dxfId="6922" priority="111" operator="equal">
      <formula>9</formula>
    </cfRule>
    <cfRule type="cellIs" dxfId="6921" priority="112" operator="equal">
      <formula>8</formula>
    </cfRule>
    <cfRule type="cellIs" dxfId="6920" priority="113" operator="equal">
      <formula>5</formula>
    </cfRule>
    <cfRule type="cellIs" dxfId="6919" priority="114" operator="equal">
      <formula>3</formula>
    </cfRule>
    <cfRule type="cellIs" dxfId="6918" priority="115" operator="equal">
      <formula>6</formula>
    </cfRule>
    <cfRule type="cellIs" dxfId="6917" priority="116" operator="equal">
      <formula>4</formula>
    </cfRule>
    <cfRule type="cellIs" dxfId="6916" priority="117" operator="equal">
      <formula>2</formula>
    </cfRule>
    <cfRule type="cellIs" dxfId="6915" priority="118" operator="equal">
      <formula>7</formula>
    </cfRule>
    <cfRule type="cellIs" dxfId="6914" priority="119" operator="equal">
      <formula>1</formula>
    </cfRule>
  </conditionalFormatting>
  <conditionalFormatting sqref="Q5:Q36">
    <cfRule type="cellIs" dxfId="6913" priority="94" operator="equal">
      <formula>"a"</formula>
    </cfRule>
    <cfRule type="cellIs" dxfId="6912" priority="95" operator="equal">
      <formula>"k"</formula>
    </cfRule>
    <cfRule type="cellIs" dxfId="6911" priority="96" operator="equal">
      <formula>"u"</formula>
    </cfRule>
    <cfRule type="cellIs" dxfId="6910" priority="97" operator="equal">
      <formula>"f"</formula>
    </cfRule>
    <cfRule type="cellIs" dxfId="6909" priority="98" operator="equal">
      <formula>9</formula>
    </cfRule>
    <cfRule type="cellIs" dxfId="6908" priority="99" operator="equal">
      <formula>8</formula>
    </cfRule>
    <cfRule type="cellIs" dxfId="6907" priority="100" operator="equal">
      <formula>5</formula>
    </cfRule>
    <cfRule type="cellIs" dxfId="6906" priority="101" operator="equal">
      <formula>3</formula>
    </cfRule>
    <cfRule type="cellIs" dxfId="6905" priority="102" operator="equal">
      <formula>6</formula>
    </cfRule>
    <cfRule type="cellIs" dxfId="6904" priority="103" operator="equal">
      <formula>4</formula>
    </cfRule>
    <cfRule type="cellIs" dxfId="6903" priority="104" operator="equal">
      <formula>2</formula>
    </cfRule>
    <cfRule type="cellIs" dxfId="6902" priority="105" operator="equal">
      <formula>7</formula>
    </cfRule>
    <cfRule type="cellIs" dxfId="6901" priority="106" operator="equal">
      <formula>1</formula>
    </cfRule>
  </conditionalFormatting>
  <conditionalFormatting sqref="T5:T36">
    <cfRule type="cellIs" dxfId="6900" priority="81" operator="equal">
      <formula>"a"</formula>
    </cfRule>
    <cfRule type="cellIs" dxfId="6899" priority="82" operator="equal">
      <formula>"k"</formula>
    </cfRule>
    <cfRule type="cellIs" dxfId="6898" priority="83" operator="equal">
      <formula>"u"</formula>
    </cfRule>
    <cfRule type="cellIs" dxfId="6897" priority="84" operator="equal">
      <formula>"f"</formula>
    </cfRule>
    <cfRule type="cellIs" dxfId="6896" priority="85" operator="equal">
      <formula>9</formula>
    </cfRule>
    <cfRule type="cellIs" dxfId="6895" priority="86" operator="equal">
      <formula>8</formula>
    </cfRule>
    <cfRule type="cellIs" dxfId="6894" priority="87" operator="equal">
      <formula>5</formula>
    </cfRule>
    <cfRule type="cellIs" dxfId="6893" priority="88" operator="equal">
      <formula>3</formula>
    </cfRule>
    <cfRule type="cellIs" dxfId="6892" priority="89" operator="equal">
      <formula>6</formula>
    </cfRule>
    <cfRule type="cellIs" dxfId="6891" priority="90" operator="equal">
      <formula>4</formula>
    </cfRule>
    <cfRule type="cellIs" dxfId="6890" priority="91" operator="equal">
      <formula>2</formula>
    </cfRule>
    <cfRule type="cellIs" dxfId="6889" priority="92" operator="equal">
      <formula>7</formula>
    </cfRule>
    <cfRule type="cellIs" dxfId="6888" priority="93" operator="equal">
      <formula>1</formula>
    </cfRule>
  </conditionalFormatting>
  <conditionalFormatting sqref="F5:F36">
    <cfRule type="expression" dxfId="6887" priority="68">
      <formula>COUNTIF(E5,"a")</formula>
    </cfRule>
    <cfRule type="expression" dxfId="6886" priority="69">
      <formula>COUNTIF(E5,"9")</formula>
    </cfRule>
    <cfRule type="expression" dxfId="6885" priority="70">
      <formula>COUNTIF(E5,"k")</formula>
    </cfRule>
    <cfRule type="expression" dxfId="6884" priority="71">
      <formula>COUNTIF(E5,"u")</formula>
    </cfRule>
    <cfRule type="expression" dxfId="6883" priority="72">
      <formula>COUNTIF(E5,"f")</formula>
    </cfRule>
    <cfRule type="expression" dxfId="6882" priority="73">
      <formula>COUNTIF(E5,"8")</formula>
    </cfRule>
    <cfRule type="expression" dxfId="6881" priority="74">
      <formula>COUNTIF(E5,"7")</formula>
    </cfRule>
    <cfRule type="expression" dxfId="6880" priority="75">
      <formula>COUNTIF(E5,"3")</formula>
    </cfRule>
    <cfRule type="expression" dxfId="6879" priority="77">
      <formula>COUNTIF(E5,"5")</formula>
    </cfRule>
    <cfRule type="expression" dxfId="6878" priority="78">
      <formula>COUNTIF(E5,"2")</formula>
    </cfRule>
    <cfRule type="expression" dxfId="6877" priority="79">
      <formula>COUNTIF(E5,"4")</formula>
    </cfRule>
    <cfRule type="expression" dxfId="6876" priority="80">
      <formula>COUNTIF(E5,"1")</formula>
    </cfRule>
  </conditionalFormatting>
  <conditionalFormatting sqref="F5:F36">
    <cfRule type="expression" dxfId="6875" priority="76">
      <formula>COUNTIF(E5,"6")</formula>
    </cfRule>
  </conditionalFormatting>
  <conditionalFormatting sqref="I5:I36">
    <cfRule type="expression" dxfId="6874" priority="55">
      <formula>COUNTIF(H5,"a")</formula>
    </cfRule>
    <cfRule type="expression" dxfId="6873" priority="56">
      <formula>COUNTIF(H5,"9")</formula>
    </cfRule>
    <cfRule type="expression" dxfId="6872" priority="57">
      <formula>COUNTIF(H5,"k")</formula>
    </cfRule>
    <cfRule type="expression" dxfId="6871" priority="58">
      <formula>COUNTIF(H5,"u")</formula>
    </cfRule>
    <cfRule type="expression" dxfId="6870" priority="59">
      <formula>COUNTIF(H5,"f")</formula>
    </cfRule>
    <cfRule type="expression" dxfId="6869" priority="60">
      <formula>COUNTIF(H5,"8")</formula>
    </cfRule>
    <cfRule type="expression" dxfId="6868" priority="61">
      <formula>COUNTIF(H5,"7")</formula>
    </cfRule>
    <cfRule type="expression" dxfId="6867" priority="62">
      <formula>COUNTIF(H5,"3")</formula>
    </cfRule>
    <cfRule type="expression" dxfId="6866" priority="64">
      <formula>COUNTIF(H5,"5")</formula>
    </cfRule>
    <cfRule type="expression" dxfId="6865" priority="65">
      <formula>COUNTIF(H5,"2")</formula>
    </cfRule>
    <cfRule type="expression" dxfId="6864" priority="66">
      <formula>COUNTIF(H5,"4")</formula>
    </cfRule>
    <cfRule type="expression" dxfId="6863" priority="67">
      <formula>COUNTIF(H5,"1")</formula>
    </cfRule>
  </conditionalFormatting>
  <conditionalFormatting sqref="I5:I36">
    <cfRule type="expression" dxfId="6862" priority="63">
      <formula>COUNTIF(H5,"6")</formula>
    </cfRule>
  </conditionalFormatting>
  <conditionalFormatting sqref="L5:L36">
    <cfRule type="expression" dxfId="6861" priority="42">
      <formula>COUNTIF(K5,"a")</formula>
    </cfRule>
    <cfRule type="expression" dxfId="6860" priority="43">
      <formula>COUNTIF(K5,"9")</formula>
    </cfRule>
    <cfRule type="expression" dxfId="6859" priority="44">
      <formula>COUNTIF(K5,"k")</formula>
    </cfRule>
    <cfRule type="expression" dxfId="6858" priority="45">
      <formula>COUNTIF(K5,"u")</formula>
    </cfRule>
    <cfRule type="expression" dxfId="6857" priority="46">
      <formula>COUNTIF(K5,"f")</formula>
    </cfRule>
    <cfRule type="expression" dxfId="6856" priority="47">
      <formula>COUNTIF(K5,"8")</formula>
    </cfRule>
    <cfRule type="expression" dxfId="6855" priority="48">
      <formula>COUNTIF(K5,"7")</formula>
    </cfRule>
    <cfRule type="expression" dxfId="6854" priority="49">
      <formula>COUNTIF(K5,"3")</formula>
    </cfRule>
    <cfRule type="expression" dxfId="6853" priority="51">
      <formula>COUNTIF(K5,"5")</formula>
    </cfRule>
    <cfRule type="expression" dxfId="6852" priority="52">
      <formula>COUNTIF(K5,"2")</formula>
    </cfRule>
    <cfRule type="expression" dxfId="6851" priority="53">
      <formula>COUNTIF(K5,"4")</formula>
    </cfRule>
    <cfRule type="expression" dxfId="6850" priority="54">
      <formula>COUNTIF(K5,"1")</formula>
    </cfRule>
  </conditionalFormatting>
  <conditionalFormatting sqref="L5:L36">
    <cfRule type="expression" dxfId="6849" priority="50">
      <formula>COUNTIF(K5,"6")</formula>
    </cfRule>
  </conditionalFormatting>
  <conditionalFormatting sqref="O5:O36">
    <cfRule type="expression" dxfId="6848" priority="29">
      <formula>COUNTIF(N5,"a")</formula>
    </cfRule>
    <cfRule type="expression" dxfId="6847" priority="30">
      <formula>COUNTIF(N5,"9")</formula>
    </cfRule>
    <cfRule type="expression" dxfId="6846" priority="31">
      <formula>COUNTIF(N5,"k")</formula>
    </cfRule>
    <cfRule type="expression" dxfId="6845" priority="32">
      <formula>COUNTIF(N5,"u")</formula>
    </cfRule>
    <cfRule type="expression" dxfId="6844" priority="33">
      <formula>COUNTIF(N5,"f")</formula>
    </cfRule>
    <cfRule type="expression" dxfId="6843" priority="34">
      <formula>COUNTIF(N5,"8")</formula>
    </cfRule>
    <cfRule type="expression" dxfId="6842" priority="35">
      <formula>COUNTIF(N5,"7")</formula>
    </cfRule>
    <cfRule type="expression" dxfId="6841" priority="36">
      <formula>COUNTIF(N5,"3")</formula>
    </cfRule>
    <cfRule type="expression" dxfId="6840" priority="38">
      <formula>COUNTIF(N5,"5")</formula>
    </cfRule>
    <cfRule type="expression" dxfId="6839" priority="39">
      <formula>COUNTIF(N5,"2")</formula>
    </cfRule>
    <cfRule type="expression" dxfId="6838" priority="40">
      <formula>COUNTIF(N5,"4")</formula>
    </cfRule>
    <cfRule type="expression" dxfId="6837" priority="41">
      <formula>COUNTIF(N5,"1")</formula>
    </cfRule>
  </conditionalFormatting>
  <conditionalFormatting sqref="O5:O36">
    <cfRule type="expression" dxfId="6836" priority="37">
      <formula>COUNTIF(N5,"6")</formula>
    </cfRule>
  </conditionalFormatting>
  <conditionalFormatting sqref="R5:R36">
    <cfRule type="expression" dxfId="6835" priority="16">
      <formula>COUNTIF(Q5,"a")</formula>
    </cfRule>
    <cfRule type="expression" dxfId="6834" priority="17">
      <formula>COUNTIF(Q5,"9")</formula>
    </cfRule>
    <cfRule type="expression" dxfId="6833" priority="18">
      <formula>COUNTIF(Q5,"k")</formula>
    </cfRule>
    <cfRule type="expression" dxfId="6832" priority="19">
      <formula>COUNTIF(Q5,"u")</formula>
    </cfRule>
    <cfRule type="expression" dxfId="6831" priority="20">
      <formula>COUNTIF(Q5,"f")</formula>
    </cfRule>
    <cfRule type="expression" dxfId="6830" priority="21">
      <formula>COUNTIF(Q5,"8")</formula>
    </cfRule>
    <cfRule type="expression" dxfId="6829" priority="22">
      <formula>COUNTIF(Q5,"7")</formula>
    </cfRule>
    <cfRule type="expression" dxfId="6828" priority="23">
      <formula>COUNTIF(Q5,"3")</formula>
    </cfRule>
    <cfRule type="expression" dxfId="6827" priority="25">
      <formula>COUNTIF(Q5,"5")</formula>
    </cfRule>
    <cfRule type="expression" dxfId="6826" priority="26">
      <formula>COUNTIF(Q5,"2")</formula>
    </cfRule>
    <cfRule type="expression" dxfId="6825" priority="27">
      <formula>COUNTIF(Q5,"4")</formula>
    </cfRule>
    <cfRule type="expression" dxfId="6824" priority="28">
      <formula>COUNTIF(Q5,"1")</formula>
    </cfRule>
  </conditionalFormatting>
  <conditionalFormatting sqref="R5:R36">
    <cfRule type="expression" dxfId="6823" priority="24">
      <formula>COUNTIF(Q5,"6")</formula>
    </cfRule>
  </conditionalFormatting>
  <conditionalFormatting sqref="U5:U36">
    <cfRule type="expression" dxfId="6822" priority="3">
      <formula>COUNTIF(T5,"a")</formula>
    </cfRule>
    <cfRule type="expression" dxfId="6821" priority="4">
      <formula>COUNTIF(T5,"9")</formula>
    </cfRule>
    <cfRule type="expression" dxfId="6820" priority="5">
      <formula>COUNTIF(T5,"k")</formula>
    </cfRule>
    <cfRule type="expression" dxfId="6819" priority="6">
      <formula>COUNTIF(T5,"u")</formula>
    </cfRule>
    <cfRule type="expression" dxfId="6818" priority="7">
      <formula>COUNTIF(T5,"f")</formula>
    </cfRule>
    <cfRule type="expression" dxfId="6817" priority="8">
      <formula>COUNTIF(T5,"8")</formula>
    </cfRule>
    <cfRule type="expression" dxfId="6816" priority="9">
      <formula>COUNTIF(T5,"7")</formula>
    </cfRule>
    <cfRule type="expression" dxfId="6815" priority="10">
      <formula>COUNTIF(T5,"3")</formula>
    </cfRule>
    <cfRule type="expression" dxfId="6814" priority="12">
      <formula>COUNTIF(T5,"5")</formula>
    </cfRule>
    <cfRule type="expression" dxfId="6813" priority="13">
      <formula>COUNTIF(T5,"2")</formula>
    </cfRule>
    <cfRule type="expression" dxfId="6812" priority="14">
      <formula>COUNTIF(T5,"4")</formula>
    </cfRule>
    <cfRule type="expression" dxfId="6811" priority="15">
      <formula>COUNTIF(T5,"1")</formula>
    </cfRule>
  </conditionalFormatting>
  <conditionalFormatting sqref="U5:U36">
    <cfRule type="expression" dxfId="6810" priority="11">
      <formula>COUNTIF(T5,"6")</formula>
    </cfRule>
  </conditionalFormatting>
  <conditionalFormatting sqref="V32">
    <cfRule type="cellIs" dxfId="6809" priority="1" operator="lessThan">
      <formula>0</formula>
    </cfRule>
    <cfRule type="cellIs" dxfId="680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6C9F4DF3-ABD9-8F4A-A09F-079E01DD574D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54200-619A-D143-8F42-7DA737AF3E52}">
  <sheetPr codeName="Tabelle62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17</v>
      </c>
      <c r="Q1" s="176"/>
      <c r="R1" s="79">
        <f>DATE(V1,1,7*P1-3-WEEKDAY(DATE(V1,,),3))</f>
        <v>45404</v>
      </c>
      <c r="S1" s="80" t="s">
        <v>1</v>
      </c>
      <c r="T1" s="177">
        <f>DATE(V1,1,7*P1+3-WEEKDAY(DATE(V1,,),3))</f>
        <v>45410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45404</v>
      </c>
      <c r="B2" s="178"/>
      <c r="C2" s="178"/>
      <c r="D2" s="178">
        <f>A2+1</f>
        <v>45405</v>
      </c>
      <c r="E2" s="179"/>
      <c r="F2" s="179"/>
      <c r="G2" s="178">
        <f>D2+1</f>
        <v>45406</v>
      </c>
      <c r="H2" s="179"/>
      <c r="I2" s="179"/>
      <c r="J2" s="178">
        <f>G2+1</f>
        <v>45407</v>
      </c>
      <c r="K2" s="179"/>
      <c r="L2" s="179"/>
      <c r="M2" s="178">
        <f>J2+1</f>
        <v>45408</v>
      </c>
      <c r="N2" s="179"/>
      <c r="O2" s="179"/>
      <c r="P2" s="178">
        <f>M2+1</f>
        <v>45409</v>
      </c>
      <c r="Q2" s="179"/>
      <c r="R2" s="179"/>
      <c r="S2" s="178">
        <f>P2+1</f>
        <v>45410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45404</v>
      </c>
      <c r="B3" s="168"/>
      <c r="C3" s="168"/>
      <c r="D3" s="168">
        <f>A3+1</f>
        <v>45405</v>
      </c>
      <c r="E3" s="168"/>
      <c r="F3" s="168"/>
      <c r="G3" s="168">
        <f>D3+1</f>
        <v>45406</v>
      </c>
      <c r="H3" s="168"/>
      <c r="I3" s="168"/>
      <c r="J3" s="168">
        <f>G3+1</f>
        <v>45407</v>
      </c>
      <c r="K3" s="168"/>
      <c r="L3" s="168"/>
      <c r="M3" s="168">
        <f>J3+1</f>
        <v>45408</v>
      </c>
      <c r="N3" s="168"/>
      <c r="O3" s="168"/>
      <c r="P3" s="168">
        <f>M3+1</f>
        <v>45409</v>
      </c>
      <c r="Q3" s="168"/>
      <c r="R3" s="168"/>
      <c r="S3" s="168">
        <f>P3+1</f>
        <v>45410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45404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45405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45406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45407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45408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45409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45410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16'!V32</f>
        <v>-640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-680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807" priority="159">
      <formula>COUNTIF(B5,"a")</formula>
    </cfRule>
    <cfRule type="expression" dxfId="6806" priority="161">
      <formula>COUNTIF(B5,"9")</formula>
    </cfRule>
    <cfRule type="expression" dxfId="6805" priority="163">
      <formula>COUNTIF(B5,"k")</formula>
    </cfRule>
    <cfRule type="expression" dxfId="6804" priority="164">
      <formula>COUNTIF(B5,"u")</formula>
    </cfRule>
    <cfRule type="expression" dxfId="6803" priority="167">
      <formula>COUNTIF(B5,"f")</formula>
    </cfRule>
    <cfRule type="expression" dxfId="6802" priority="168">
      <formula>COUNTIF(B5,"8")</formula>
    </cfRule>
    <cfRule type="expression" dxfId="6801" priority="169">
      <formula>COUNTIF(B5,"7")</formula>
    </cfRule>
    <cfRule type="expression" dxfId="6800" priority="170">
      <formula>COUNTIF(B5,"3")</formula>
    </cfRule>
    <cfRule type="expression" dxfId="6799" priority="181">
      <formula>COUNTIF(B5,"5")</formula>
    </cfRule>
    <cfRule type="expression" dxfId="6798" priority="182">
      <formula>COUNTIF(B5,"2")</formula>
    </cfRule>
    <cfRule type="expression" dxfId="6797" priority="183">
      <formula>COUNTIF(B5,"4")</formula>
    </cfRule>
    <cfRule type="expression" dxfId="6796" priority="184">
      <formula>COUNTIF(B5,"1")</formula>
    </cfRule>
  </conditionalFormatting>
  <conditionalFormatting sqref="B5:B36">
    <cfRule type="cellIs" dxfId="6795" priority="160" operator="equal">
      <formula>"a"</formula>
    </cfRule>
    <cfRule type="cellIs" dxfId="6794" priority="162" operator="equal">
      <formula>"k"</formula>
    </cfRule>
    <cfRule type="cellIs" dxfId="6793" priority="165" operator="equal">
      <formula>"u"</formula>
    </cfRule>
    <cfRule type="cellIs" dxfId="6792" priority="166" operator="equal">
      <formula>"f"</formula>
    </cfRule>
    <cfRule type="cellIs" dxfId="6791" priority="171" operator="equal">
      <formula>9</formula>
    </cfRule>
    <cfRule type="cellIs" dxfId="6790" priority="172" operator="equal">
      <formula>8</formula>
    </cfRule>
    <cfRule type="cellIs" dxfId="6789" priority="173" operator="equal">
      <formula>5</formula>
    </cfRule>
    <cfRule type="cellIs" dxfId="6788" priority="174" operator="equal">
      <formula>3</formula>
    </cfRule>
    <cfRule type="cellIs" dxfId="6787" priority="176" operator="equal">
      <formula>6</formula>
    </cfRule>
    <cfRule type="cellIs" dxfId="6786" priority="177" operator="equal">
      <formula>4</formula>
    </cfRule>
    <cfRule type="cellIs" dxfId="6785" priority="178" operator="equal">
      <formula>2</formula>
    </cfRule>
    <cfRule type="cellIs" dxfId="6784" priority="179" operator="equal">
      <formula>7</formula>
    </cfRule>
    <cfRule type="cellIs" dxfId="6783" priority="180" operator="equal">
      <formula>1</formula>
    </cfRule>
  </conditionalFormatting>
  <conditionalFormatting sqref="C5:C36">
    <cfRule type="expression" dxfId="6782" priority="175">
      <formula>COUNTIF(B5,"6")</formula>
    </cfRule>
  </conditionalFormatting>
  <conditionalFormatting sqref="E5:E36">
    <cfRule type="cellIs" dxfId="6781" priority="146" operator="equal">
      <formula>"a"</formula>
    </cfRule>
    <cfRule type="cellIs" dxfId="6780" priority="147" operator="equal">
      <formula>"k"</formula>
    </cfRule>
    <cfRule type="cellIs" dxfId="6779" priority="148" operator="equal">
      <formula>"u"</formula>
    </cfRule>
    <cfRule type="cellIs" dxfId="6778" priority="149" operator="equal">
      <formula>"f"</formula>
    </cfRule>
    <cfRule type="cellIs" dxfId="6777" priority="150" operator="equal">
      <formula>9</formula>
    </cfRule>
    <cfRule type="cellIs" dxfId="6776" priority="151" operator="equal">
      <formula>8</formula>
    </cfRule>
    <cfRule type="cellIs" dxfId="6775" priority="152" operator="equal">
      <formula>5</formula>
    </cfRule>
    <cfRule type="cellIs" dxfId="6774" priority="153" operator="equal">
      <formula>3</formula>
    </cfRule>
    <cfRule type="cellIs" dxfId="6773" priority="154" operator="equal">
      <formula>6</formula>
    </cfRule>
    <cfRule type="cellIs" dxfId="6772" priority="155" operator="equal">
      <formula>4</formula>
    </cfRule>
    <cfRule type="cellIs" dxfId="6771" priority="156" operator="equal">
      <formula>2</formula>
    </cfRule>
    <cfRule type="cellIs" dxfId="6770" priority="157" operator="equal">
      <formula>7</formula>
    </cfRule>
    <cfRule type="cellIs" dxfId="6769" priority="158" operator="equal">
      <formula>1</formula>
    </cfRule>
  </conditionalFormatting>
  <conditionalFormatting sqref="H5:H36">
    <cfRule type="cellIs" dxfId="6768" priority="133" operator="equal">
      <formula>"a"</formula>
    </cfRule>
    <cfRule type="cellIs" dxfId="6767" priority="134" operator="equal">
      <formula>"k"</formula>
    </cfRule>
    <cfRule type="cellIs" dxfId="6766" priority="135" operator="equal">
      <formula>"u"</formula>
    </cfRule>
    <cfRule type="cellIs" dxfId="6765" priority="136" operator="equal">
      <formula>"f"</formula>
    </cfRule>
    <cfRule type="cellIs" dxfId="6764" priority="137" operator="equal">
      <formula>9</formula>
    </cfRule>
    <cfRule type="cellIs" dxfId="6763" priority="138" operator="equal">
      <formula>8</formula>
    </cfRule>
    <cfRule type="cellIs" dxfId="6762" priority="139" operator="equal">
      <formula>5</formula>
    </cfRule>
    <cfRule type="cellIs" dxfId="6761" priority="140" operator="equal">
      <formula>3</formula>
    </cfRule>
    <cfRule type="cellIs" dxfId="6760" priority="141" operator="equal">
      <formula>6</formula>
    </cfRule>
    <cfRule type="cellIs" dxfId="6759" priority="142" operator="equal">
      <formula>4</formula>
    </cfRule>
    <cfRule type="cellIs" dxfId="6758" priority="143" operator="equal">
      <formula>2</formula>
    </cfRule>
    <cfRule type="cellIs" dxfId="6757" priority="144" operator="equal">
      <formula>7</formula>
    </cfRule>
    <cfRule type="cellIs" dxfId="6756" priority="145" operator="equal">
      <formula>1</formula>
    </cfRule>
  </conditionalFormatting>
  <conditionalFormatting sqref="K5:K36">
    <cfRule type="cellIs" dxfId="6755" priority="120" operator="equal">
      <formula>"a"</formula>
    </cfRule>
    <cfRule type="cellIs" dxfId="6754" priority="121" operator="equal">
      <formula>"k"</formula>
    </cfRule>
    <cfRule type="cellIs" dxfId="6753" priority="122" operator="equal">
      <formula>"u"</formula>
    </cfRule>
    <cfRule type="cellIs" dxfId="6752" priority="123" operator="equal">
      <formula>"f"</formula>
    </cfRule>
    <cfRule type="cellIs" dxfId="6751" priority="124" operator="equal">
      <formula>9</formula>
    </cfRule>
    <cfRule type="cellIs" dxfId="6750" priority="125" operator="equal">
      <formula>8</formula>
    </cfRule>
    <cfRule type="cellIs" dxfId="6749" priority="126" operator="equal">
      <formula>5</formula>
    </cfRule>
    <cfRule type="cellIs" dxfId="6748" priority="127" operator="equal">
      <formula>3</formula>
    </cfRule>
    <cfRule type="cellIs" dxfId="6747" priority="128" operator="equal">
      <formula>6</formula>
    </cfRule>
    <cfRule type="cellIs" dxfId="6746" priority="129" operator="equal">
      <formula>4</formula>
    </cfRule>
    <cfRule type="cellIs" dxfId="6745" priority="130" operator="equal">
      <formula>2</formula>
    </cfRule>
    <cfRule type="cellIs" dxfId="6744" priority="131" operator="equal">
      <formula>7</formula>
    </cfRule>
    <cfRule type="cellIs" dxfId="6743" priority="132" operator="equal">
      <formula>1</formula>
    </cfRule>
  </conditionalFormatting>
  <conditionalFormatting sqref="N5:N36">
    <cfRule type="cellIs" dxfId="6742" priority="107" operator="equal">
      <formula>"a"</formula>
    </cfRule>
    <cfRule type="cellIs" dxfId="6741" priority="108" operator="equal">
      <formula>"k"</formula>
    </cfRule>
    <cfRule type="cellIs" dxfId="6740" priority="109" operator="equal">
      <formula>"u"</formula>
    </cfRule>
    <cfRule type="cellIs" dxfId="6739" priority="110" operator="equal">
      <formula>"f"</formula>
    </cfRule>
    <cfRule type="cellIs" dxfId="6738" priority="111" operator="equal">
      <formula>9</formula>
    </cfRule>
    <cfRule type="cellIs" dxfId="6737" priority="112" operator="equal">
      <formula>8</formula>
    </cfRule>
    <cfRule type="cellIs" dxfId="6736" priority="113" operator="equal">
      <formula>5</formula>
    </cfRule>
    <cfRule type="cellIs" dxfId="6735" priority="114" operator="equal">
      <formula>3</formula>
    </cfRule>
    <cfRule type="cellIs" dxfId="6734" priority="115" operator="equal">
      <formula>6</formula>
    </cfRule>
    <cfRule type="cellIs" dxfId="6733" priority="116" operator="equal">
      <formula>4</formula>
    </cfRule>
    <cfRule type="cellIs" dxfId="6732" priority="117" operator="equal">
      <formula>2</formula>
    </cfRule>
    <cfRule type="cellIs" dxfId="6731" priority="118" operator="equal">
      <formula>7</formula>
    </cfRule>
    <cfRule type="cellIs" dxfId="6730" priority="119" operator="equal">
      <formula>1</formula>
    </cfRule>
  </conditionalFormatting>
  <conditionalFormatting sqref="Q5:Q36">
    <cfRule type="cellIs" dxfId="6729" priority="94" operator="equal">
      <formula>"a"</formula>
    </cfRule>
    <cfRule type="cellIs" dxfId="6728" priority="95" operator="equal">
      <formula>"k"</formula>
    </cfRule>
    <cfRule type="cellIs" dxfId="6727" priority="96" operator="equal">
      <formula>"u"</formula>
    </cfRule>
    <cfRule type="cellIs" dxfId="6726" priority="97" operator="equal">
      <formula>"f"</formula>
    </cfRule>
    <cfRule type="cellIs" dxfId="6725" priority="98" operator="equal">
      <formula>9</formula>
    </cfRule>
    <cfRule type="cellIs" dxfId="6724" priority="99" operator="equal">
      <formula>8</formula>
    </cfRule>
    <cfRule type="cellIs" dxfId="6723" priority="100" operator="equal">
      <formula>5</formula>
    </cfRule>
    <cfRule type="cellIs" dxfId="6722" priority="101" operator="equal">
      <formula>3</formula>
    </cfRule>
    <cfRule type="cellIs" dxfId="6721" priority="102" operator="equal">
      <formula>6</formula>
    </cfRule>
    <cfRule type="cellIs" dxfId="6720" priority="103" operator="equal">
      <formula>4</formula>
    </cfRule>
    <cfRule type="cellIs" dxfId="6719" priority="104" operator="equal">
      <formula>2</formula>
    </cfRule>
    <cfRule type="cellIs" dxfId="6718" priority="105" operator="equal">
      <formula>7</formula>
    </cfRule>
    <cfRule type="cellIs" dxfId="6717" priority="106" operator="equal">
      <formula>1</formula>
    </cfRule>
  </conditionalFormatting>
  <conditionalFormatting sqref="T5:T36">
    <cfRule type="cellIs" dxfId="6716" priority="81" operator="equal">
      <formula>"a"</formula>
    </cfRule>
    <cfRule type="cellIs" dxfId="6715" priority="82" operator="equal">
      <formula>"k"</formula>
    </cfRule>
    <cfRule type="cellIs" dxfId="6714" priority="83" operator="equal">
      <formula>"u"</formula>
    </cfRule>
    <cfRule type="cellIs" dxfId="6713" priority="84" operator="equal">
      <formula>"f"</formula>
    </cfRule>
    <cfRule type="cellIs" dxfId="6712" priority="85" operator="equal">
      <formula>9</formula>
    </cfRule>
    <cfRule type="cellIs" dxfId="6711" priority="86" operator="equal">
      <formula>8</formula>
    </cfRule>
    <cfRule type="cellIs" dxfId="6710" priority="87" operator="equal">
      <formula>5</formula>
    </cfRule>
    <cfRule type="cellIs" dxfId="6709" priority="88" operator="equal">
      <formula>3</formula>
    </cfRule>
    <cfRule type="cellIs" dxfId="6708" priority="89" operator="equal">
      <formula>6</formula>
    </cfRule>
    <cfRule type="cellIs" dxfId="6707" priority="90" operator="equal">
      <formula>4</formula>
    </cfRule>
    <cfRule type="cellIs" dxfId="6706" priority="91" operator="equal">
      <formula>2</formula>
    </cfRule>
    <cfRule type="cellIs" dxfId="6705" priority="92" operator="equal">
      <formula>7</formula>
    </cfRule>
    <cfRule type="cellIs" dxfId="6704" priority="93" operator="equal">
      <formula>1</formula>
    </cfRule>
  </conditionalFormatting>
  <conditionalFormatting sqref="F5:F36">
    <cfRule type="expression" dxfId="6703" priority="68">
      <formula>COUNTIF(E5,"a")</formula>
    </cfRule>
    <cfRule type="expression" dxfId="6702" priority="69">
      <formula>COUNTIF(E5,"9")</formula>
    </cfRule>
    <cfRule type="expression" dxfId="6701" priority="70">
      <formula>COUNTIF(E5,"k")</formula>
    </cfRule>
    <cfRule type="expression" dxfId="6700" priority="71">
      <formula>COUNTIF(E5,"u")</formula>
    </cfRule>
    <cfRule type="expression" dxfId="6699" priority="72">
      <formula>COUNTIF(E5,"f")</formula>
    </cfRule>
    <cfRule type="expression" dxfId="6698" priority="73">
      <formula>COUNTIF(E5,"8")</formula>
    </cfRule>
    <cfRule type="expression" dxfId="6697" priority="74">
      <formula>COUNTIF(E5,"7")</formula>
    </cfRule>
    <cfRule type="expression" dxfId="6696" priority="75">
      <formula>COUNTIF(E5,"3")</formula>
    </cfRule>
    <cfRule type="expression" dxfId="6695" priority="77">
      <formula>COUNTIF(E5,"5")</formula>
    </cfRule>
    <cfRule type="expression" dxfId="6694" priority="78">
      <formula>COUNTIF(E5,"2")</formula>
    </cfRule>
    <cfRule type="expression" dxfId="6693" priority="79">
      <formula>COUNTIF(E5,"4")</formula>
    </cfRule>
    <cfRule type="expression" dxfId="6692" priority="80">
      <formula>COUNTIF(E5,"1")</formula>
    </cfRule>
  </conditionalFormatting>
  <conditionalFormatting sqref="F5:F36">
    <cfRule type="expression" dxfId="6691" priority="76">
      <formula>COUNTIF(E5,"6")</formula>
    </cfRule>
  </conditionalFormatting>
  <conditionalFormatting sqref="I5:I36">
    <cfRule type="expression" dxfId="6690" priority="55">
      <formula>COUNTIF(H5,"a")</formula>
    </cfRule>
    <cfRule type="expression" dxfId="6689" priority="56">
      <formula>COUNTIF(H5,"9")</formula>
    </cfRule>
    <cfRule type="expression" dxfId="6688" priority="57">
      <formula>COUNTIF(H5,"k")</formula>
    </cfRule>
    <cfRule type="expression" dxfId="6687" priority="58">
      <formula>COUNTIF(H5,"u")</formula>
    </cfRule>
    <cfRule type="expression" dxfId="6686" priority="59">
      <formula>COUNTIF(H5,"f")</formula>
    </cfRule>
    <cfRule type="expression" dxfId="6685" priority="60">
      <formula>COUNTIF(H5,"8")</formula>
    </cfRule>
    <cfRule type="expression" dxfId="6684" priority="61">
      <formula>COUNTIF(H5,"7")</formula>
    </cfRule>
    <cfRule type="expression" dxfId="6683" priority="62">
      <formula>COUNTIF(H5,"3")</formula>
    </cfRule>
    <cfRule type="expression" dxfId="6682" priority="64">
      <formula>COUNTIF(H5,"5")</formula>
    </cfRule>
    <cfRule type="expression" dxfId="6681" priority="65">
      <formula>COUNTIF(H5,"2")</formula>
    </cfRule>
    <cfRule type="expression" dxfId="6680" priority="66">
      <formula>COUNTIF(H5,"4")</formula>
    </cfRule>
    <cfRule type="expression" dxfId="6679" priority="67">
      <formula>COUNTIF(H5,"1")</formula>
    </cfRule>
  </conditionalFormatting>
  <conditionalFormatting sqref="I5:I36">
    <cfRule type="expression" dxfId="6678" priority="63">
      <formula>COUNTIF(H5,"6")</formula>
    </cfRule>
  </conditionalFormatting>
  <conditionalFormatting sqref="L5:L36">
    <cfRule type="expression" dxfId="6677" priority="42">
      <formula>COUNTIF(K5,"a")</formula>
    </cfRule>
    <cfRule type="expression" dxfId="6676" priority="43">
      <formula>COUNTIF(K5,"9")</formula>
    </cfRule>
    <cfRule type="expression" dxfId="6675" priority="44">
      <formula>COUNTIF(K5,"k")</formula>
    </cfRule>
    <cfRule type="expression" dxfId="6674" priority="45">
      <formula>COUNTIF(K5,"u")</formula>
    </cfRule>
    <cfRule type="expression" dxfId="6673" priority="46">
      <formula>COUNTIF(K5,"f")</formula>
    </cfRule>
    <cfRule type="expression" dxfId="6672" priority="47">
      <formula>COUNTIF(K5,"8")</formula>
    </cfRule>
    <cfRule type="expression" dxfId="6671" priority="48">
      <formula>COUNTIF(K5,"7")</formula>
    </cfRule>
    <cfRule type="expression" dxfId="6670" priority="49">
      <formula>COUNTIF(K5,"3")</formula>
    </cfRule>
    <cfRule type="expression" dxfId="6669" priority="51">
      <formula>COUNTIF(K5,"5")</formula>
    </cfRule>
    <cfRule type="expression" dxfId="6668" priority="52">
      <formula>COUNTIF(K5,"2")</formula>
    </cfRule>
    <cfRule type="expression" dxfId="6667" priority="53">
      <formula>COUNTIF(K5,"4")</formula>
    </cfRule>
    <cfRule type="expression" dxfId="6666" priority="54">
      <formula>COUNTIF(K5,"1")</formula>
    </cfRule>
  </conditionalFormatting>
  <conditionalFormatting sqref="L5:L36">
    <cfRule type="expression" dxfId="6665" priority="50">
      <formula>COUNTIF(K5,"6")</formula>
    </cfRule>
  </conditionalFormatting>
  <conditionalFormatting sqref="O5:O36">
    <cfRule type="expression" dxfId="6664" priority="29">
      <formula>COUNTIF(N5,"a")</formula>
    </cfRule>
    <cfRule type="expression" dxfId="6663" priority="30">
      <formula>COUNTIF(N5,"9")</formula>
    </cfRule>
    <cfRule type="expression" dxfId="6662" priority="31">
      <formula>COUNTIF(N5,"k")</formula>
    </cfRule>
    <cfRule type="expression" dxfId="6661" priority="32">
      <formula>COUNTIF(N5,"u")</formula>
    </cfRule>
    <cfRule type="expression" dxfId="6660" priority="33">
      <formula>COUNTIF(N5,"f")</formula>
    </cfRule>
    <cfRule type="expression" dxfId="6659" priority="34">
      <formula>COUNTIF(N5,"8")</formula>
    </cfRule>
    <cfRule type="expression" dxfId="6658" priority="35">
      <formula>COUNTIF(N5,"7")</formula>
    </cfRule>
    <cfRule type="expression" dxfId="6657" priority="36">
      <formula>COUNTIF(N5,"3")</formula>
    </cfRule>
    <cfRule type="expression" dxfId="6656" priority="38">
      <formula>COUNTIF(N5,"5")</formula>
    </cfRule>
    <cfRule type="expression" dxfId="6655" priority="39">
      <formula>COUNTIF(N5,"2")</formula>
    </cfRule>
    <cfRule type="expression" dxfId="6654" priority="40">
      <formula>COUNTIF(N5,"4")</formula>
    </cfRule>
    <cfRule type="expression" dxfId="6653" priority="41">
      <formula>COUNTIF(N5,"1")</formula>
    </cfRule>
  </conditionalFormatting>
  <conditionalFormatting sqref="O5:O36">
    <cfRule type="expression" dxfId="6652" priority="37">
      <formula>COUNTIF(N5,"6")</formula>
    </cfRule>
  </conditionalFormatting>
  <conditionalFormatting sqref="R5:R36">
    <cfRule type="expression" dxfId="6651" priority="16">
      <formula>COUNTIF(Q5,"a")</formula>
    </cfRule>
    <cfRule type="expression" dxfId="6650" priority="17">
      <formula>COUNTIF(Q5,"9")</formula>
    </cfRule>
    <cfRule type="expression" dxfId="6649" priority="18">
      <formula>COUNTIF(Q5,"k")</formula>
    </cfRule>
    <cfRule type="expression" dxfId="6648" priority="19">
      <formula>COUNTIF(Q5,"u")</formula>
    </cfRule>
    <cfRule type="expression" dxfId="6647" priority="20">
      <formula>COUNTIF(Q5,"f")</formula>
    </cfRule>
    <cfRule type="expression" dxfId="6646" priority="21">
      <formula>COUNTIF(Q5,"8")</formula>
    </cfRule>
    <cfRule type="expression" dxfId="6645" priority="22">
      <formula>COUNTIF(Q5,"7")</formula>
    </cfRule>
    <cfRule type="expression" dxfId="6644" priority="23">
      <formula>COUNTIF(Q5,"3")</formula>
    </cfRule>
    <cfRule type="expression" dxfId="6643" priority="25">
      <formula>COUNTIF(Q5,"5")</formula>
    </cfRule>
    <cfRule type="expression" dxfId="6642" priority="26">
      <formula>COUNTIF(Q5,"2")</formula>
    </cfRule>
    <cfRule type="expression" dxfId="6641" priority="27">
      <formula>COUNTIF(Q5,"4")</formula>
    </cfRule>
    <cfRule type="expression" dxfId="6640" priority="28">
      <formula>COUNTIF(Q5,"1")</formula>
    </cfRule>
  </conditionalFormatting>
  <conditionalFormatting sqref="R5:R36">
    <cfRule type="expression" dxfId="6639" priority="24">
      <formula>COUNTIF(Q5,"6")</formula>
    </cfRule>
  </conditionalFormatting>
  <conditionalFormatting sqref="U5:U36">
    <cfRule type="expression" dxfId="6638" priority="3">
      <formula>COUNTIF(T5,"a")</formula>
    </cfRule>
    <cfRule type="expression" dxfId="6637" priority="4">
      <formula>COUNTIF(T5,"9")</formula>
    </cfRule>
    <cfRule type="expression" dxfId="6636" priority="5">
      <formula>COUNTIF(T5,"k")</formula>
    </cfRule>
    <cfRule type="expression" dxfId="6635" priority="6">
      <formula>COUNTIF(T5,"u")</formula>
    </cfRule>
    <cfRule type="expression" dxfId="6634" priority="7">
      <formula>COUNTIF(T5,"f")</formula>
    </cfRule>
    <cfRule type="expression" dxfId="6633" priority="8">
      <formula>COUNTIF(T5,"8")</formula>
    </cfRule>
    <cfRule type="expression" dxfId="6632" priority="9">
      <formula>COUNTIF(T5,"7")</formula>
    </cfRule>
    <cfRule type="expression" dxfId="6631" priority="10">
      <formula>COUNTIF(T5,"3")</formula>
    </cfRule>
    <cfRule type="expression" dxfId="6630" priority="12">
      <formula>COUNTIF(T5,"5")</formula>
    </cfRule>
    <cfRule type="expression" dxfId="6629" priority="13">
      <formula>COUNTIF(T5,"2")</formula>
    </cfRule>
    <cfRule type="expression" dxfId="6628" priority="14">
      <formula>COUNTIF(T5,"4")</formula>
    </cfRule>
    <cfRule type="expression" dxfId="6627" priority="15">
      <formula>COUNTIF(T5,"1")</formula>
    </cfRule>
  </conditionalFormatting>
  <conditionalFormatting sqref="U5:U36">
    <cfRule type="expression" dxfId="6626" priority="11">
      <formula>COUNTIF(T5,"6")</formula>
    </cfRule>
  </conditionalFormatting>
  <conditionalFormatting sqref="V32">
    <cfRule type="cellIs" dxfId="6625" priority="1" operator="lessThan">
      <formula>0</formula>
    </cfRule>
    <cfRule type="cellIs" dxfId="662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895424C1-B45C-194D-8A7C-D533D023FEA6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C8858-3EE6-4B4F-B1E7-B791E26B252A}">
  <sheetPr codeName="Tabelle63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18</v>
      </c>
      <c r="Q1" s="176"/>
      <c r="R1" s="79">
        <f>DATE(V1,1,7*P1-3-WEEKDAY(DATE(V1,,),3))</f>
        <v>45411</v>
      </c>
      <c r="S1" s="80" t="s">
        <v>1</v>
      </c>
      <c r="T1" s="177">
        <f>DATE(V1,1,7*P1+3-WEEKDAY(DATE(V1,,),3))</f>
        <v>45417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45411</v>
      </c>
      <c r="B2" s="178"/>
      <c r="C2" s="178"/>
      <c r="D2" s="178">
        <f>A2+1</f>
        <v>45412</v>
      </c>
      <c r="E2" s="179"/>
      <c r="F2" s="179"/>
      <c r="G2" s="178">
        <f>D2+1</f>
        <v>45413</v>
      </c>
      <c r="H2" s="179"/>
      <c r="I2" s="179"/>
      <c r="J2" s="178">
        <f>G2+1</f>
        <v>45414</v>
      </c>
      <c r="K2" s="179"/>
      <c r="L2" s="179"/>
      <c r="M2" s="178">
        <f>J2+1</f>
        <v>45415</v>
      </c>
      <c r="N2" s="179"/>
      <c r="O2" s="179"/>
      <c r="P2" s="178">
        <f>M2+1</f>
        <v>45416</v>
      </c>
      <c r="Q2" s="179"/>
      <c r="R2" s="179"/>
      <c r="S2" s="178">
        <f>P2+1</f>
        <v>45417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45411</v>
      </c>
      <c r="B3" s="168"/>
      <c r="C3" s="168"/>
      <c r="D3" s="168">
        <f>A3+1</f>
        <v>45412</v>
      </c>
      <c r="E3" s="168"/>
      <c r="F3" s="168"/>
      <c r="G3" s="168">
        <f>D3+1</f>
        <v>45413</v>
      </c>
      <c r="H3" s="168"/>
      <c r="I3" s="168"/>
      <c r="J3" s="168">
        <f>G3+1</f>
        <v>45414</v>
      </c>
      <c r="K3" s="168"/>
      <c r="L3" s="168"/>
      <c r="M3" s="168">
        <f>J3+1</f>
        <v>45415</v>
      </c>
      <c r="N3" s="168"/>
      <c r="O3" s="168"/>
      <c r="P3" s="168">
        <f>M3+1</f>
        <v>45416</v>
      </c>
      <c r="Q3" s="168"/>
      <c r="R3" s="168"/>
      <c r="S3" s="168">
        <f>P3+1</f>
        <v>45417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45411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45412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45413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45414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45415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45416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45417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17'!V32</f>
        <v>-680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-720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623" priority="159">
      <formula>COUNTIF(B5,"a")</formula>
    </cfRule>
    <cfRule type="expression" dxfId="6622" priority="161">
      <formula>COUNTIF(B5,"9")</formula>
    </cfRule>
    <cfRule type="expression" dxfId="6621" priority="163">
      <formula>COUNTIF(B5,"k")</formula>
    </cfRule>
    <cfRule type="expression" dxfId="6620" priority="164">
      <formula>COUNTIF(B5,"u")</formula>
    </cfRule>
    <cfRule type="expression" dxfId="6619" priority="167">
      <formula>COUNTIF(B5,"f")</formula>
    </cfRule>
    <cfRule type="expression" dxfId="6618" priority="168">
      <formula>COUNTIF(B5,"8")</formula>
    </cfRule>
    <cfRule type="expression" dxfId="6617" priority="169">
      <formula>COUNTIF(B5,"7")</formula>
    </cfRule>
    <cfRule type="expression" dxfId="6616" priority="170">
      <formula>COUNTIF(B5,"3")</formula>
    </cfRule>
    <cfRule type="expression" dxfId="6615" priority="181">
      <formula>COUNTIF(B5,"5")</formula>
    </cfRule>
    <cfRule type="expression" dxfId="6614" priority="182">
      <formula>COUNTIF(B5,"2")</formula>
    </cfRule>
    <cfRule type="expression" dxfId="6613" priority="183">
      <formula>COUNTIF(B5,"4")</formula>
    </cfRule>
    <cfRule type="expression" dxfId="6612" priority="184">
      <formula>COUNTIF(B5,"1")</formula>
    </cfRule>
  </conditionalFormatting>
  <conditionalFormatting sqref="B5:B36">
    <cfRule type="cellIs" dxfId="6611" priority="160" operator="equal">
      <formula>"a"</formula>
    </cfRule>
    <cfRule type="cellIs" dxfId="6610" priority="162" operator="equal">
      <formula>"k"</formula>
    </cfRule>
    <cfRule type="cellIs" dxfId="6609" priority="165" operator="equal">
      <formula>"u"</formula>
    </cfRule>
    <cfRule type="cellIs" dxfId="6608" priority="166" operator="equal">
      <formula>"f"</formula>
    </cfRule>
    <cfRule type="cellIs" dxfId="6607" priority="171" operator="equal">
      <formula>9</formula>
    </cfRule>
    <cfRule type="cellIs" dxfId="6606" priority="172" operator="equal">
      <formula>8</formula>
    </cfRule>
    <cfRule type="cellIs" dxfId="6605" priority="173" operator="equal">
      <formula>5</formula>
    </cfRule>
    <cfRule type="cellIs" dxfId="6604" priority="174" operator="equal">
      <formula>3</formula>
    </cfRule>
    <cfRule type="cellIs" dxfId="6603" priority="176" operator="equal">
      <formula>6</formula>
    </cfRule>
    <cfRule type="cellIs" dxfId="6602" priority="177" operator="equal">
      <formula>4</formula>
    </cfRule>
    <cfRule type="cellIs" dxfId="6601" priority="178" operator="equal">
      <formula>2</formula>
    </cfRule>
    <cfRule type="cellIs" dxfId="6600" priority="179" operator="equal">
      <formula>7</formula>
    </cfRule>
    <cfRule type="cellIs" dxfId="6599" priority="180" operator="equal">
      <formula>1</formula>
    </cfRule>
  </conditionalFormatting>
  <conditionalFormatting sqref="C5:C36">
    <cfRule type="expression" dxfId="6598" priority="175">
      <formula>COUNTIF(B5,"6")</formula>
    </cfRule>
  </conditionalFormatting>
  <conditionalFormatting sqref="E5:E36">
    <cfRule type="cellIs" dxfId="6597" priority="146" operator="equal">
      <formula>"a"</formula>
    </cfRule>
    <cfRule type="cellIs" dxfId="6596" priority="147" operator="equal">
      <formula>"k"</formula>
    </cfRule>
    <cfRule type="cellIs" dxfId="6595" priority="148" operator="equal">
      <formula>"u"</formula>
    </cfRule>
    <cfRule type="cellIs" dxfId="6594" priority="149" operator="equal">
      <formula>"f"</formula>
    </cfRule>
    <cfRule type="cellIs" dxfId="6593" priority="150" operator="equal">
      <formula>9</formula>
    </cfRule>
    <cfRule type="cellIs" dxfId="6592" priority="151" operator="equal">
      <formula>8</formula>
    </cfRule>
    <cfRule type="cellIs" dxfId="6591" priority="152" operator="equal">
      <formula>5</formula>
    </cfRule>
    <cfRule type="cellIs" dxfId="6590" priority="153" operator="equal">
      <formula>3</formula>
    </cfRule>
    <cfRule type="cellIs" dxfId="6589" priority="154" operator="equal">
      <formula>6</formula>
    </cfRule>
    <cfRule type="cellIs" dxfId="6588" priority="155" operator="equal">
      <formula>4</formula>
    </cfRule>
    <cfRule type="cellIs" dxfId="6587" priority="156" operator="equal">
      <formula>2</formula>
    </cfRule>
    <cfRule type="cellIs" dxfId="6586" priority="157" operator="equal">
      <formula>7</formula>
    </cfRule>
    <cfRule type="cellIs" dxfId="6585" priority="158" operator="equal">
      <formula>1</formula>
    </cfRule>
  </conditionalFormatting>
  <conditionalFormatting sqref="H5:H36">
    <cfRule type="cellIs" dxfId="6584" priority="133" operator="equal">
      <formula>"a"</formula>
    </cfRule>
    <cfRule type="cellIs" dxfId="6583" priority="134" operator="equal">
      <formula>"k"</formula>
    </cfRule>
    <cfRule type="cellIs" dxfId="6582" priority="135" operator="equal">
      <formula>"u"</formula>
    </cfRule>
    <cfRule type="cellIs" dxfId="6581" priority="136" operator="equal">
      <formula>"f"</formula>
    </cfRule>
    <cfRule type="cellIs" dxfId="6580" priority="137" operator="equal">
      <formula>9</formula>
    </cfRule>
    <cfRule type="cellIs" dxfId="6579" priority="138" operator="equal">
      <formula>8</formula>
    </cfRule>
    <cfRule type="cellIs" dxfId="6578" priority="139" operator="equal">
      <formula>5</formula>
    </cfRule>
    <cfRule type="cellIs" dxfId="6577" priority="140" operator="equal">
      <formula>3</formula>
    </cfRule>
    <cfRule type="cellIs" dxfId="6576" priority="141" operator="equal">
      <formula>6</formula>
    </cfRule>
    <cfRule type="cellIs" dxfId="6575" priority="142" operator="equal">
      <formula>4</formula>
    </cfRule>
    <cfRule type="cellIs" dxfId="6574" priority="143" operator="equal">
      <formula>2</formula>
    </cfRule>
    <cfRule type="cellIs" dxfId="6573" priority="144" operator="equal">
      <formula>7</formula>
    </cfRule>
    <cfRule type="cellIs" dxfId="6572" priority="145" operator="equal">
      <formula>1</formula>
    </cfRule>
  </conditionalFormatting>
  <conditionalFormatting sqref="K5:K36">
    <cfRule type="cellIs" dxfId="6571" priority="120" operator="equal">
      <formula>"a"</formula>
    </cfRule>
    <cfRule type="cellIs" dxfId="6570" priority="121" operator="equal">
      <formula>"k"</formula>
    </cfRule>
    <cfRule type="cellIs" dxfId="6569" priority="122" operator="equal">
      <formula>"u"</formula>
    </cfRule>
    <cfRule type="cellIs" dxfId="6568" priority="123" operator="equal">
      <formula>"f"</formula>
    </cfRule>
    <cfRule type="cellIs" dxfId="6567" priority="124" operator="equal">
      <formula>9</formula>
    </cfRule>
    <cfRule type="cellIs" dxfId="6566" priority="125" operator="equal">
      <formula>8</formula>
    </cfRule>
    <cfRule type="cellIs" dxfId="6565" priority="126" operator="equal">
      <formula>5</formula>
    </cfRule>
    <cfRule type="cellIs" dxfId="6564" priority="127" operator="equal">
      <formula>3</formula>
    </cfRule>
    <cfRule type="cellIs" dxfId="6563" priority="128" operator="equal">
      <formula>6</formula>
    </cfRule>
    <cfRule type="cellIs" dxfId="6562" priority="129" operator="equal">
      <formula>4</formula>
    </cfRule>
    <cfRule type="cellIs" dxfId="6561" priority="130" operator="equal">
      <formula>2</formula>
    </cfRule>
    <cfRule type="cellIs" dxfId="6560" priority="131" operator="equal">
      <formula>7</formula>
    </cfRule>
    <cfRule type="cellIs" dxfId="6559" priority="132" operator="equal">
      <formula>1</formula>
    </cfRule>
  </conditionalFormatting>
  <conditionalFormatting sqref="N5:N36">
    <cfRule type="cellIs" dxfId="6558" priority="107" operator="equal">
      <formula>"a"</formula>
    </cfRule>
    <cfRule type="cellIs" dxfId="6557" priority="108" operator="equal">
      <formula>"k"</formula>
    </cfRule>
    <cfRule type="cellIs" dxfId="6556" priority="109" operator="equal">
      <formula>"u"</formula>
    </cfRule>
    <cfRule type="cellIs" dxfId="6555" priority="110" operator="equal">
      <formula>"f"</formula>
    </cfRule>
    <cfRule type="cellIs" dxfId="6554" priority="111" operator="equal">
      <formula>9</formula>
    </cfRule>
    <cfRule type="cellIs" dxfId="6553" priority="112" operator="equal">
      <formula>8</formula>
    </cfRule>
    <cfRule type="cellIs" dxfId="6552" priority="113" operator="equal">
      <formula>5</formula>
    </cfRule>
    <cfRule type="cellIs" dxfId="6551" priority="114" operator="equal">
      <formula>3</formula>
    </cfRule>
    <cfRule type="cellIs" dxfId="6550" priority="115" operator="equal">
      <formula>6</formula>
    </cfRule>
    <cfRule type="cellIs" dxfId="6549" priority="116" operator="equal">
      <formula>4</formula>
    </cfRule>
    <cfRule type="cellIs" dxfId="6548" priority="117" operator="equal">
      <formula>2</formula>
    </cfRule>
    <cfRule type="cellIs" dxfId="6547" priority="118" operator="equal">
      <formula>7</formula>
    </cfRule>
    <cfRule type="cellIs" dxfId="6546" priority="119" operator="equal">
      <formula>1</formula>
    </cfRule>
  </conditionalFormatting>
  <conditionalFormatting sqref="Q5:Q36">
    <cfRule type="cellIs" dxfId="6545" priority="94" operator="equal">
      <formula>"a"</formula>
    </cfRule>
    <cfRule type="cellIs" dxfId="6544" priority="95" operator="equal">
      <formula>"k"</formula>
    </cfRule>
    <cfRule type="cellIs" dxfId="6543" priority="96" operator="equal">
      <formula>"u"</formula>
    </cfRule>
    <cfRule type="cellIs" dxfId="6542" priority="97" operator="equal">
      <formula>"f"</formula>
    </cfRule>
    <cfRule type="cellIs" dxfId="6541" priority="98" operator="equal">
      <formula>9</formula>
    </cfRule>
    <cfRule type="cellIs" dxfId="6540" priority="99" operator="equal">
      <formula>8</formula>
    </cfRule>
    <cfRule type="cellIs" dxfId="6539" priority="100" operator="equal">
      <formula>5</formula>
    </cfRule>
    <cfRule type="cellIs" dxfId="6538" priority="101" operator="equal">
      <formula>3</formula>
    </cfRule>
    <cfRule type="cellIs" dxfId="6537" priority="102" operator="equal">
      <formula>6</formula>
    </cfRule>
    <cfRule type="cellIs" dxfId="6536" priority="103" operator="equal">
      <formula>4</formula>
    </cfRule>
    <cfRule type="cellIs" dxfId="6535" priority="104" operator="equal">
      <formula>2</formula>
    </cfRule>
    <cfRule type="cellIs" dxfId="6534" priority="105" operator="equal">
      <formula>7</formula>
    </cfRule>
    <cfRule type="cellIs" dxfId="6533" priority="106" operator="equal">
      <formula>1</formula>
    </cfRule>
  </conditionalFormatting>
  <conditionalFormatting sqref="T5:T36">
    <cfRule type="cellIs" dxfId="6532" priority="81" operator="equal">
      <formula>"a"</formula>
    </cfRule>
    <cfRule type="cellIs" dxfId="6531" priority="82" operator="equal">
      <formula>"k"</formula>
    </cfRule>
    <cfRule type="cellIs" dxfId="6530" priority="83" operator="equal">
      <formula>"u"</formula>
    </cfRule>
    <cfRule type="cellIs" dxfId="6529" priority="84" operator="equal">
      <formula>"f"</formula>
    </cfRule>
    <cfRule type="cellIs" dxfId="6528" priority="85" operator="equal">
      <formula>9</formula>
    </cfRule>
    <cfRule type="cellIs" dxfId="6527" priority="86" operator="equal">
      <formula>8</formula>
    </cfRule>
    <cfRule type="cellIs" dxfId="6526" priority="87" operator="equal">
      <formula>5</formula>
    </cfRule>
    <cfRule type="cellIs" dxfId="6525" priority="88" operator="equal">
      <formula>3</formula>
    </cfRule>
    <cfRule type="cellIs" dxfId="6524" priority="89" operator="equal">
      <formula>6</formula>
    </cfRule>
    <cfRule type="cellIs" dxfId="6523" priority="90" operator="equal">
      <formula>4</formula>
    </cfRule>
    <cfRule type="cellIs" dxfId="6522" priority="91" operator="equal">
      <formula>2</formula>
    </cfRule>
    <cfRule type="cellIs" dxfId="6521" priority="92" operator="equal">
      <formula>7</formula>
    </cfRule>
    <cfRule type="cellIs" dxfId="6520" priority="93" operator="equal">
      <formula>1</formula>
    </cfRule>
  </conditionalFormatting>
  <conditionalFormatting sqref="F5:F36">
    <cfRule type="expression" dxfId="6519" priority="68">
      <formula>COUNTIF(E5,"a")</formula>
    </cfRule>
    <cfRule type="expression" dxfId="6518" priority="69">
      <formula>COUNTIF(E5,"9")</formula>
    </cfRule>
    <cfRule type="expression" dxfId="6517" priority="70">
      <formula>COUNTIF(E5,"k")</formula>
    </cfRule>
    <cfRule type="expression" dxfId="6516" priority="71">
      <formula>COUNTIF(E5,"u")</formula>
    </cfRule>
    <cfRule type="expression" dxfId="6515" priority="72">
      <formula>COUNTIF(E5,"f")</formula>
    </cfRule>
    <cfRule type="expression" dxfId="6514" priority="73">
      <formula>COUNTIF(E5,"8")</formula>
    </cfRule>
    <cfRule type="expression" dxfId="6513" priority="74">
      <formula>COUNTIF(E5,"7")</formula>
    </cfRule>
    <cfRule type="expression" dxfId="6512" priority="75">
      <formula>COUNTIF(E5,"3")</formula>
    </cfRule>
    <cfRule type="expression" dxfId="6511" priority="77">
      <formula>COUNTIF(E5,"5")</formula>
    </cfRule>
    <cfRule type="expression" dxfId="6510" priority="78">
      <formula>COUNTIF(E5,"2")</formula>
    </cfRule>
    <cfRule type="expression" dxfId="6509" priority="79">
      <formula>COUNTIF(E5,"4")</formula>
    </cfRule>
    <cfRule type="expression" dxfId="6508" priority="80">
      <formula>COUNTIF(E5,"1")</formula>
    </cfRule>
  </conditionalFormatting>
  <conditionalFormatting sqref="F5:F36">
    <cfRule type="expression" dxfId="6507" priority="76">
      <formula>COUNTIF(E5,"6")</formula>
    </cfRule>
  </conditionalFormatting>
  <conditionalFormatting sqref="I5:I36">
    <cfRule type="expression" dxfId="6506" priority="55">
      <formula>COUNTIF(H5,"a")</formula>
    </cfRule>
    <cfRule type="expression" dxfId="6505" priority="56">
      <formula>COUNTIF(H5,"9")</formula>
    </cfRule>
    <cfRule type="expression" dxfId="6504" priority="57">
      <formula>COUNTIF(H5,"k")</formula>
    </cfRule>
    <cfRule type="expression" dxfId="6503" priority="58">
      <formula>COUNTIF(H5,"u")</formula>
    </cfRule>
    <cfRule type="expression" dxfId="6502" priority="59">
      <formula>COUNTIF(H5,"f")</formula>
    </cfRule>
    <cfRule type="expression" dxfId="6501" priority="60">
      <formula>COUNTIF(H5,"8")</formula>
    </cfRule>
    <cfRule type="expression" dxfId="6500" priority="61">
      <formula>COUNTIF(H5,"7")</formula>
    </cfRule>
    <cfRule type="expression" dxfId="6499" priority="62">
      <formula>COUNTIF(H5,"3")</formula>
    </cfRule>
    <cfRule type="expression" dxfId="6498" priority="64">
      <formula>COUNTIF(H5,"5")</formula>
    </cfRule>
    <cfRule type="expression" dxfId="6497" priority="65">
      <formula>COUNTIF(H5,"2")</formula>
    </cfRule>
    <cfRule type="expression" dxfId="6496" priority="66">
      <formula>COUNTIF(H5,"4")</formula>
    </cfRule>
    <cfRule type="expression" dxfId="6495" priority="67">
      <formula>COUNTIF(H5,"1")</formula>
    </cfRule>
  </conditionalFormatting>
  <conditionalFormatting sqref="I5:I36">
    <cfRule type="expression" dxfId="6494" priority="63">
      <formula>COUNTIF(H5,"6")</formula>
    </cfRule>
  </conditionalFormatting>
  <conditionalFormatting sqref="L5:L36">
    <cfRule type="expression" dxfId="6493" priority="42">
      <formula>COUNTIF(K5,"a")</formula>
    </cfRule>
    <cfRule type="expression" dxfId="6492" priority="43">
      <formula>COUNTIF(K5,"9")</formula>
    </cfRule>
    <cfRule type="expression" dxfId="6491" priority="44">
      <formula>COUNTIF(K5,"k")</formula>
    </cfRule>
    <cfRule type="expression" dxfId="6490" priority="45">
      <formula>COUNTIF(K5,"u")</formula>
    </cfRule>
    <cfRule type="expression" dxfId="6489" priority="46">
      <formula>COUNTIF(K5,"f")</formula>
    </cfRule>
    <cfRule type="expression" dxfId="6488" priority="47">
      <formula>COUNTIF(K5,"8")</formula>
    </cfRule>
    <cfRule type="expression" dxfId="6487" priority="48">
      <formula>COUNTIF(K5,"7")</formula>
    </cfRule>
    <cfRule type="expression" dxfId="6486" priority="49">
      <formula>COUNTIF(K5,"3")</formula>
    </cfRule>
    <cfRule type="expression" dxfId="6485" priority="51">
      <formula>COUNTIF(K5,"5")</formula>
    </cfRule>
    <cfRule type="expression" dxfId="6484" priority="52">
      <formula>COUNTIF(K5,"2")</formula>
    </cfRule>
    <cfRule type="expression" dxfId="6483" priority="53">
      <formula>COUNTIF(K5,"4")</formula>
    </cfRule>
    <cfRule type="expression" dxfId="6482" priority="54">
      <formula>COUNTIF(K5,"1")</formula>
    </cfRule>
  </conditionalFormatting>
  <conditionalFormatting sqref="L5:L36">
    <cfRule type="expression" dxfId="6481" priority="50">
      <formula>COUNTIF(K5,"6")</formula>
    </cfRule>
  </conditionalFormatting>
  <conditionalFormatting sqref="O5:O36">
    <cfRule type="expression" dxfId="6480" priority="29">
      <formula>COUNTIF(N5,"a")</formula>
    </cfRule>
    <cfRule type="expression" dxfId="6479" priority="30">
      <formula>COUNTIF(N5,"9")</formula>
    </cfRule>
    <cfRule type="expression" dxfId="6478" priority="31">
      <formula>COUNTIF(N5,"k")</formula>
    </cfRule>
    <cfRule type="expression" dxfId="6477" priority="32">
      <formula>COUNTIF(N5,"u")</formula>
    </cfRule>
    <cfRule type="expression" dxfId="6476" priority="33">
      <formula>COUNTIF(N5,"f")</formula>
    </cfRule>
    <cfRule type="expression" dxfId="6475" priority="34">
      <formula>COUNTIF(N5,"8")</formula>
    </cfRule>
    <cfRule type="expression" dxfId="6474" priority="35">
      <formula>COUNTIF(N5,"7")</formula>
    </cfRule>
    <cfRule type="expression" dxfId="6473" priority="36">
      <formula>COUNTIF(N5,"3")</formula>
    </cfRule>
    <cfRule type="expression" dxfId="6472" priority="38">
      <formula>COUNTIF(N5,"5")</formula>
    </cfRule>
    <cfRule type="expression" dxfId="6471" priority="39">
      <formula>COUNTIF(N5,"2")</formula>
    </cfRule>
    <cfRule type="expression" dxfId="6470" priority="40">
      <formula>COUNTIF(N5,"4")</formula>
    </cfRule>
    <cfRule type="expression" dxfId="6469" priority="41">
      <formula>COUNTIF(N5,"1")</formula>
    </cfRule>
  </conditionalFormatting>
  <conditionalFormatting sqref="O5:O36">
    <cfRule type="expression" dxfId="6468" priority="37">
      <formula>COUNTIF(N5,"6")</formula>
    </cfRule>
  </conditionalFormatting>
  <conditionalFormatting sqref="R5:R36">
    <cfRule type="expression" dxfId="6467" priority="16">
      <formula>COUNTIF(Q5,"a")</formula>
    </cfRule>
    <cfRule type="expression" dxfId="6466" priority="17">
      <formula>COUNTIF(Q5,"9")</formula>
    </cfRule>
    <cfRule type="expression" dxfId="6465" priority="18">
      <formula>COUNTIF(Q5,"k")</formula>
    </cfRule>
    <cfRule type="expression" dxfId="6464" priority="19">
      <formula>COUNTIF(Q5,"u")</formula>
    </cfRule>
    <cfRule type="expression" dxfId="6463" priority="20">
      <formula>COUNTIF(Q5,"f")</formula>
    </cfRule>
    <cfRule type="expression" dxfId="6462" priority="21">
      <formula>COUNTIF(Q5,"8")</formula>
    </cfRule>
    <cfRule type="expression" dxfId="6461" priority="22">
      <formula>COUNTIF(Q5,"7")</formula>
    </cfRule>
    <cfRule type="expression" dxfId="6460" priority="23">
      <formula>COUNTIF(Q5,"3")</formula>
    </cfRule>
    <cfRule type="expression" dxfId="6459" priority="25">
      <formula>COUNTIF(Q5,"5")</formula>
    </cfRule>
    <cfRule type="expression" dxfId="6458" priority="26">
      <formula>COUNTIF(Q5,"2")</formula>
    </cfRule>
    <cfRule type="expression" dxfId="6457" priority="27">
      <formula>COUNTIF(Q5,"4")</formula>
    </cfRule>
    <cfRule type="expression" dxfId="6456" priority="28">
      <formula>COUNTIF(Q5,"1")</formula>
    </cfRule>
  </conditionalFormatting>
  <conditionalFormatting sqref="R5:R36">
    <cfRule type="expression" dxfId="6455" priority="24">
      <formula>COUNTIF(Q5,"6")</formula>
    </cfRule>
  </conditionalFormatting>
  <conditionalFormatting sqref="U5:U36">
    <cfRule type="expression" dxfId="6454" priority="3">
      <formula>COUNTIF(T5,"a")</formula>
    </cfRule>
    <cfRule type="expression" dxfId="6453" priority="4">
      <formula>COUNTIF(T5,"9")</formula>
    </cfRule>
    <cfRule type="expression" dxfId="6452" priority="5">
      <formula>COUNTIF(T5,"k")</formula>
    </cfRule>
    <cfRule type="expression" dxfId="6451" priority="6">
      <formula>COUNTIF(T5,"u")</formula>
    </cfRule>
    <cfRule type="expression" dxfId="6450" priority="7">
      <formula>COUNTIF(T5,"f")</formula>
    </cfRule>
    <cfRule type="expression" dxfId="6449" priority="8">
      <formula>COUNTIF(T5,"8")</formula>
    </cfRule>
    <cfRule type="expression" dxfId="6448" priority="9">
      <formula>COUNTIF(T5,"7")</formula>
    </cfRule>
    <cfRule type="expression" dxfId="6447" priority="10">
      <formula>COUNTIF(T5,"3")</formula>
    </cfRule>
    <cfRule type="expression" dxfId="6446" priority="12">
      <formula>COUNTIF(T5,"5")</formula>
    </cfRule>
    <cfRule type="expression" dxfId="6445" priority="13">
      <formula>COUNTIF(T5,"2")</formula>
    </cfRule>
    <cfRule type="expression" dxfId="6444" priority="14">
      <formula>COUNTIF(T5,"4")</formula>
    </cfRule>
    <cfRule type="expression" dxfId="6443" priority="15">
      <formula>COUNTIF(T5,"1")</formula>
    </cfRule>
  </conditionalFormatting>
  <conditionalFormatting sqref="U5:U36">
    <cfRule type="expression" dxfId="6442" priority="11">
      <formula>COUNTIF(T5,"6")</formula>
    </cfRule>
  </conditionalFormatting>
  <conditionalFormatting sqref="V32">
    <cfRule type="cellIs" dxfId="6441" priority="1" operator="lessThan">
      <formula>0</formula>
    </cfRule>
    <cfRule type="cellIs" dxfId="644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C397F82E-1638-BE48-9090-50F7B75108D5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F9C9F-FCD2-7244-B8FD-2733878DDC4D}">
  <sheetPr codeName="Tabelle64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19</v>
      </c>
      <c r="Q1" s="176"/>
      <c r="R1" s="79">
        <f>DATE(V1,1,7*P1-3-WEEKDAY(DATE(V1,,),3))</f>
        <v>45418</v>
      </c>
      <c r="S1" s="80" t="s">
        <v>1</v>
      </c>
      <c r="T1" s="177">
        <f>DATE(V1,1,7*P1+3-WEEKDAY(DATE(V1,,),3))</f>
        <v>45424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45418</v>
      </c>
      <c r="B2" s="178"/>
      <c r="C2" s="178"/>
      <c r="D2" s="178">
        <f>A2+1</f>
        <v>45419</v>
      </c>
      <c r="E2" s="179"/>
      <c r="F2" s="179"/>
      <c r="G2" s="178">
        <f>D2+1</f>
        <v>45420</v>
      </c>
      <c r="H2" s="179"/>
      <c r="I2" s="179"/>
      <c r="J2" s="178">
        <f>G2+1</f>
        <v>45421</v>
      </c>
      <c r="K2" s="179"/>
      <c r="L2" s="179"/>
      <c r="M2" s="178">
        <f>J2+1</f>
        <v>45422</v>
      </c>
      <c r="N2" s="179"/>
      <c r="O2" s="179"/>
      <c r="P2" s="178">
        <f>M2+1</f>
        <v>45423</v>
      </c>
      <c r="Q2" s="179"/>
      <c r="R2" s="179"/>
      <c r="S2" s="178">
        <f>P2+1</f>
        <v>45424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45418</v>
      </c>
      <c r="B3" s="168"/>
      <c r="C3" s="168"/>
      <c r="D3" s="168">
        <f>A3+1</f>
        <v>45419</v>
      </c>
      <c r="E3" s="168"/>
      <c r="F3" s="168"/>
      <c r="G3" s="168">
        <f>D3+1</f>
        <v>45420</v>
      </c>
      <c r="H3" s="168"/>
      <c r="I3" s="168"/>
      <c r="J3" s="168">
        <f>G3+1</f>
        <v>45421</v>
      </c>
      <c r="K3" s="168"/>
      <c r="L3" s="168"/>
      <c r="M3" s="168">
        <f>J3+1</f>
        <v>45422</v>
      </c>
      <c r="N3" s="168"/>
      <c r="O3" s="168"/>
      <c r="P3" s="168">
        <f>M3+1</f>
        <v>45423</v>
      </c>
      <c r="Q3" s="168"/>
      <c r="R3" s="168"/>
      <c r="S3" s="168">
        <f>P3+1</f>
        <v>45424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45418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45419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45420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45421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45422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45423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45424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18'!V32</f>
        <v>-720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-760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439" priority="159">
      <formula>COUNTIF(B5,"a")</formula>
    </cfRule>
    <cfRule type="expression" dxfId="6438" priority="161">
      <formula>COUNTIF(B5,"9")</formula>
    </cfRule>
    <cfRule type="expression" dxfId="6437" priority="163">
      <formula>COUNTIF(B5,"k")</formula>
    </cfRule>
    <cfRule type="expression" dxfId="6436" priority="164">
      <formula>COUNTIF(B5,"u")</formula>
    </cfRule>
    <cfRule type="expression" dxfId="6435" priority="167">
      <formula>COUNTIF(B5,"f")</formula>
    </cfRule>
    <cfRule type="expression" dxfId="6434" priority="168">
      <formula>COUNTIF(B5,"8")</formula>
    </cfRule>
    <cfRule type="expression" dxfId="6433" priority="169">
      <formula>COUNTIF(B5,"7")</formula>
    </cfRule>
    <cfRule type="expression" dxfId="6432" priority="170">
      <formula>COUNTIF(B5,"3")</formula>
    </cfRule>
    <cfRule type="expression" dxfId="6431" priority="181">
      <formula>COUNTIF(B5,"5")</formula>
    </cfRule>
    <cfRule type="expression" dxfId="6430" priority="182">
      <formula>COUNTIF(B5,"2")</formula>
    </cfRule>
    <cfRule type="expression" dxfId="6429" priority="183">
      <formula>COUNTIF(B5,"4")</formula>
    </cfRule>
    <cfRule type="expression" dxfId="6428" priority="184">
      <formula>COUNTIF(B5,"1")</formula>
    </cfRule>
  </conditionalFormatting>
  <conditionalFormatting sqref="B5:B36">
    <cfRule type="cellIs" dxfId="6427" priority="160" operator="equal">
      <formula>"a"</formula>
    </cfRule>
    <cfRule type="cellIs" dxfId="6426" priority="162" operator="equal">
      <formula>"k"</formula>
    </cfRule>
    <cfRule type="cellIs" dxfId="6425" priority="165" operator="equal">
      <formula>"u"</formula>
    </cfRule>
    <cfRule type="cellIs" dxfId="6424" priority="166" operator="equal">
      <formula>"f"</formula>
    </cfRule>
    <cfRule type="cellIs" dxfId="6423" priority="171" operator="equal">
      <formula>9</formula>
    </cfRule>
    <cfRule type="cellIs" dxfId="6422" priority="172" operator="equal">
      <formula>8</formula>
    </cfRule>
    <cfRule type="cellIs" dxfId="6421" priority="173" operator="equal">
      <formula>5</formula>
    </cfRule>
    <cfRule type="cellIs" dxfId="6420" priority="174" operator="equal">
      <formula>3</formula>
    </cfRule>
    <cfRule type="cellIs" dxfId="6419" priority="176" operator="equal">
      <formula>6</formula>
    </cfRule>
    <cfRule type="cellIs" dxfId="6418" priority="177" operator="equal">
      <formula>4</formula>
    </cfRule>
    <cfRule type="cellIs" dxfId="6417" priority="178" operator="equal">
      <formula>2</formula>
    </cfRule>
    <cfRule type="cellIs" dxfId="6416" priority="179" operator="equal">
      <formula>7</formula>
    </cfRule>
    <cfRule type="cellIs" dxfId="6415" priority="180" operator="equal">
      <formula>1</formula>
    </cfRule>
  </conditionalFormatting>
  <conditionalFormatting sqref="C5:C36">
    <cfRule type="expression" dxfId="6414" priority="175">
      <formula>COUNTIF(B5,"6")</formula>
    </cfRule>
  </conditionalFormatting>
  <conditionalFormatting sqref="E5:E36">
    <cfRule type="cellIs" dxfId="6413" priority="146" operator="equal">
      <formula>"a"</formula>
    </cfRule>
    <cfRule type="cellIs" dxfId="6412" priority="147" operator="equal">
      <formula>"k"</formula>
    </cfRule>
    <cfRule type="cellIs" dxfId="6411" priority="148" operator="equal">
      <formula>"u"</formula>
    </cfRule>
    <cfRule type="cellIs" dxfId="6410" priority="149" operator="equal">
      <formula>"f"</formula>
    </cfRule>
    <cfRule type="cellIs" dxfId="6409" priority="150" operator="equal">
      <formula>9</formula>
    </cfRule>
    <cfRule type="cellIs" dxfId="6408" priority="151" operator="equal">
      <formula>8</formula>
    </cfRule>
    <cfRule type="cellIs" dxfId="6407" priority="152" operator="equal">
      <formula>5</formula>
    </cfRule>
    <cfRule type="cellIs" dxfId="6406" priority="153" operator="equal">
      <formula>3</formula>
    </cfRule>
    <cfRule type="cellIs" dxfId="6405" priority="154" operator="equal">
      <formula>6</formula>
    </cfRule>
    <cfRule type="cellIs" dxfId="6404" priority="155" operator="equal">
      <formula>4</formula>
    </cfRule>
    <cfRule type="cellIs" dxfId="6403" priority="156" operator="equal">
      <formula>2</formula>
    </cfRule>
    <cfRule type="cellIs" dxfId="6402" priority="157" operator="equal">
      <formula>7</formula>
    </cfRule>
    <cfRule type="cellIs" dxfId="6401" priority="158" operator="equal">
      <formula>1</formula>
    </cfRule>
  </conditionalFormatting>
  <conditionalFormatting sqref="H5:H36">
    <cfRule type="cellIs" dxfId="6400" priority="133" operator="equal">
      <formula>"a"</formula>
    </cfRule>
    <cfRule type="cellIs" dxfId="6399" priority="134" operator="equal">
      <formula>"k"</formula>
    </cfRule>
    <cfRule type="cellIs" dxfId="6398" priority="135" operator="equal">
      <formula>"u"</formula>
    </cfRule>
    <cfRule type="cellIs" dxfId="6397" priority="136" operator="equal">
      <formula>"f"</formula>
    </cfRule>
    <cfRule type="cellIs" dxfId="6396" priority="137" operator="equal">
      <formula>9</formula>
    </cfRule>
    <cfRule type="cellIs" dxfId="6395" priority="138" operator="equal">
      <formula>8</formula>
    </cfRule>
    <cfRule type="cellIs" dxfId="6394" priority="139" operator="equal">
      <formula>5</formula>
    </cfRule>
    <cfRule type="cellIs" dxfId="6393" priority="140" operator="equal">
      <formula>3</formula>
    </cfRule>
    <cfRule type="cellIs" dxfId="6392" priority="141" operator="equal">
      <formula>6</formula>
    </cfRule>
    <cfRule type="cellIs" dxfId="6391" priority="142" operator="equal">
      <formula>4</formula>
    </cfRule>
    <cfRule type="cellIs" dxfId="6390" priority="143" operator="equal">
      <formula>2</formula>
    </cfRule>
    <cfRule type="cellIs" dxfId="6389" priority="144" operator="equal">
      <formula>7</formula>
    </cfRule>
    <cfRule type="cellIs" dxfId="6388" priority="145" operator="equal">
      <formula>1</formula>
    </cfRule>
  </conditionalFormatting>
  <conditionalFormatting sqref="K5:K36">
    <cfRule type="cellIs" dxfId="6387" priority="120" operator="equal">
      <formula>"a"</formula>
    </cfRule>
    <cfRule type="cellIs" dxfId="6386" priority="121" operator="equal">
      <formula>"k"</formula>
    </cfRule>
    <cfRule type="cellIs" dxfId="6385" priority="122" operator="equal">
      <formula>"u"</formula>
    </cfRule>
    <cfRule type="cellIs" dxfId="6384" priority="123" operator="equal">
      <formula>"f"</formula>
    </cfRule>
    <cfRule type="cellIs" dxfId="6383" priority="124" operator="equal">
      <formula>9</formula>
    </cfRule>
    <cfRule type="cellIs" dxfId="6382" priority="125" operator="equal">
      <formula>8</formula>
    </cfRule>
    <cfRule type="cellIs" dxfId="6381" priority="126" operator="equal">
      <formula>5</formula>
    </cfRule>
    <cfRule type="cellIs" dxfId="6380" priority="127" operator="equal">
      <formula>3</formula>
    </cfRule>
    <cfRule type="cellIs" dxfId="6379" priority="128" operator="equal">
      <formula>6</formula>
    </cfRule>
    <cfRule type="cellIs" dxfId="6378" priority="129" operator="equal">
      <formula>4</formula>
    </cfRule>
    <cfRule type="cellIs" dxfId="6377" priority="130" operator="equal">
      <formula>2</formula>
    </cfRule>
    <cfRule type="cellIs" dxfId="6376" priority="131" operator="equal">
      <formula>7</formula>
    </cfRule>
    <cfRule type="cellIs" dxfId="6375" priority="132" operator="equal">
      <formula>1</formula>
    </cfRule>
  </conditionalFormatting>
  <conditionalFormatting sqref="N5:N36">
    <cfRule type="cellIs" dxfId="6374" priority="107" operator="equal">
      <formula>"a"</formula>
    </cfRule>
    <cfRule type="cellIs" dxfId="6373" priority="108" operator="equal">
      <formula>"k"</formula>
    </cfRule>
    <cfRule type="cellIs" dxfId="6372" priority="109" operator="equal">
      <formula>"u"</formula>
    </cfRule>
    <cfRule type="cellIs" dxfId="6371" priority="110" operator="equal">
      <formula>"f"</formula>
    </cfRule>
    <cfRule type="cellIs" dxfId="6370" priority="111" operator="equal">
      <formula>9</formula>
    </cfRule>
    <cfRule type="cellIs" dxfId="6369" priority="112" operator="equal">
      <formula>8</formula>
    </cfRule>
    <cfRule type="cellIs" dxfId="6368" priority="113" operator="equal">
      <formula>5</formula>
    </cfRule>
    <cfRule type="cellIs" dxfId="6367" priority="114" operator="equal">
      <formula>3</formula>
    </cfRule>
    <cfRule type="cellIs" dxfId="6366" priority="115" operator="equal">
      <formula>6</formula>
    </cfRule>
    <cfRule type="cellIs" dxfId="6365" priority="116" operator="equal">
      <formula>4</formula>
    </cfRule>
    <cfRule type="cellIs" dxfId="6364" priority="117" operator="equal">
      <formula>2</formula>
    </cfRule>
    <cfRule type="cellIs" dxfId="6363" priority="118" operator="equal">
      <formula>7</formula>
    </cfRule>
    <cfRule type="cellIs" dxfId="6362" priority="119" operator="equal">
      <formula>1</formula>
    </cfRule>
  </conditionalFormatting>
  <conditionalFormatting sqref="Q5:Q36">
    <cfRule type="cellIs" dxfId="6361" priority="94" operator="equal">
      <formula>"a"</formula>
    </cfRule>
    <cfRule type="cellIs" dxfId="6360" priority="95" operator="equal">
      <formula>"k"</formula>
    </cfRule>
    <cfRule type="cellIs" dxfId="6359" priority="96" operator="equal">
      <formula>"u"</formula>
    </cfRule>
    <cfRule type="cellIs" dxfId="6358" priority="97" operator="equal">
      <formula>"f"</formula>
    </cfRule>
    <cfRule type="cellIs" dxfId="6357" priority="98" operator="equal">
      <formula>9</formula>
    </cfRule>
    <cfRule type="cellIs" dxfId="6356" priority="99" operator="equal">
      <formula>8</formula>
    </cfRule>
    <cfRule type="cellIs" dxfId="6355" priority="100" operator="equal">
      <formula>5</formula>
    </cfRule>
    <cfRule type="cellIs" dxfId="6354" priority="101" operator="equal">
      <formula>3</formula>
    </cfRule>
    <cfRule type="cellIs" dxfId="6353" priority="102" operator="equal">
      <formula>6</formula>
    </cfRule>
    <cfRule type="cellIs" dxfId="6352" priority="103" operator="equal">
      <formula>4</formula>
    </cfRule>
    <cfRule type="cellIs" dxfId="6351" priority="104" operator="equal">
      <formula>2</formula>
    </cfRule>
    <cfRule type="cellIs" dxfId="6350" priority="105" operator="equal">
      <formula>7</formula>
    </cfRule>
    <cfRule type="cellIs" dxfId="6349" priority="106" operator="equal">
      <formula>1</formula>
    </cfRule>
  </conditionalFormatting>
  <conditionalFormatting sqref="T5:T36">
    <cfRule type="cellIs" dxfId="6348" priority="81" operator="equal">
      <formula>"a"</formula>
    </cfRule>
    <cfRule type="cellIs" dxfId="6347" priority="82" operator="equal">
      <formula>"k"</formula>
    </cfRule>
    <cfRule type="cellIs" dxfId="6346" priority="83" operator="equal">
      <formula>"u"</formula>
    </cfRule>
    <cfRule type="cellIs" dxfId="6345" priority="84" operator="equal">
      <formula>"f"</formula>
    </cfRule>
    <cfRule type="cellIs" dxfId="6344" priority="85" operator="equal">
      <formula>9</formula>
    </cfRule>
    <cfRule type="cellIs" dxfId="6343" priority="86" operator="equal">
      <formula>8</formula>
    </cfRule>
    <cfRule type="cellIs" dxfId="6342" priority="87" operator="equal">
      <formula>5</formula>
    </cfRule>
    <cfRule type="cellIs" dxfId="6341" priority="88" operator="equal">
      <formula>3</formula>
    </cfRule>
    <cfRule type="cellIs" dxfId="6340" priority="89" operator="equal">
      <formula>6</formula>
    </cfRule>
    <cfRule type="cellIs" dxfId="6339" priority="90" operator="equal">
      <formula>4</formula>
    </cfRule>
    <cfRule type="cellIs" dxfId="6338" priority="91" operator="equal">
      <formula>2</formula>
    </cfRule>
    <cfRule type="cellIs" dxfId="6337" priority="92" operator="equal">
      <formula>7</formula>
    </cfRule>
    <cfRule type="cellIs" dxfId="6336" priority="93" operator="equal">
      <formula>1</formula>
    </cfRule>
  </conditionalFormatting>
  <conditionalFormatting sqref="F5:F36">
    <cfRule type="expression" dxfId="6335" priority="68">
      <formula>COUNTIF(E5,"a")</formula>
    </cfRule>
    <cfRule type="expression" dxfId="6334" priority="69">
      <formula>COUNTIF(E5,"9")</formula>
    </cfRule>
    <cfRule type="expression" dxfId="6333" priority="70">
      <formula>COUNTIF(E5,"k")</formula>
    </cfRule>
    <cfRule type="expression" dxfId="6332" priority="71">
      <formula>COUNTIF(E5,"u")</formula>
    </cfRule>
    <cfRule type="expression" dxfId="6331" priority="72">
      <formula>COUNTIF(E5,"f")</formula>
    </cfRule>
    <cfRule type="expression" dxfId="6330" priority="73">
      <formula>COUNTIF(E5,"8")</formula>
    </cfRule>
    <cfRule type="expression" dxfId="6329" priority="74">
      <formula>COUNTIF(E5,"7")</formula>
    </cfRule>
    <cfRule type="expression" dxfId="6328" priority="75">
      <formula>COUNTIF(E5,"3")</formula>
    </cfRule>
    <cfRule type="expression" dxfId="6327" priority="77">
      <formula>COUNTIF(E5,"5")</formula>
    </cfRule>
    <cfRule type="expression" dxfId="6326" priority="78">
      <formula>COUNTIF(E5,"2")</formula>
    </cfRule>
    <cfRule type="expression" dxfId="6325" priority="79">
      <formula>COUNTIF(E5,"4")</formula>
    </cfRule>
    <cfRule type="expression" dxfId="6324" priority="80">
      <formula>COUNTIF(E5,"1")</formula>
    </cfRule>
  </conditionalFormatting>
  <conditionalFormatting sqref="F5:F36">
    <cfRule type="expression" dxfId="6323" priority="76">
      <formula>COUNTIF(E5,"6")</formula>
    </cfRule>
  </conditionalFormatting>
  <conditionalFormatting sqref="I5:I36">
    <cfRule type="expression" dxfId="6322" priority="55">
      <formula>COUNTIF(H5,"a")</formula>
    </cfRule>
    <cfRule type="expression" dxfId="6321" priority="56">
      <formula>COUNTIF(H5,"9")</formula>
    </cfRule>
    <cfRule type="expression" dxfId="6320" priority="57">
      <formula>COUNTIF(H5,"k")</formula>
    </cfRule>
    <cfRule type="expression" dxfId="6319" priority="58">
      <formula>COUNTIF(H5,"u")</formula>
    </cfRule>
    <cfRule type="expression" dxfId="6318" priority="59">
      <formula>COUNTIF(H5,"f")</formula>
    </cfRule>
    <cfRule type="expression" dxfId="6317" priority="60">
      <formula>COUNTIF(H5,"8")</formula>
    </cfRule>
    <cfRule type="expression" dxfId="6316" priority="61">
      <formula>COUNTIF(H5,"7")</formula>
    </cfRule>
    <cfRule type="expression" dxfId="6315" priority="62">
      <formula>COUNTIF(H5,"3")</formula>
    </cfRule>
    <cfRule type="expression" dxfId="6314" priority="64">
      <formula>COUNTIF(H5,"5")</formula>
    </cfRule>
    <cfRule type="expression" dxfId="6313" priority="65">
      <formula>COUNTIF(H5,"2")</formula>
    </cfRule>
    <cfRule type="expression" dxfId="6312" priority="66">
      <formula>COUNTIF(H5,"4")</formula>
    </cfRule>
    <cfRule type="expression" dxfId="6311" priority="67">
      <formula>COUNTIF(H5,"1")</formula>
    </cfRule>
  </conditionalFormatting>
  <conditionalFormatting sqref="I5:I36">
    <cfRule type="expression" dxfId="6310" priority="63">
      <formula>COUNTIF(H5,"6")</formula>
    </cfRule>
  </conditionalFormatting>
  <conditionalFormatting sqref="L5:L36">
    <cfRule type="expression" dxfId="6309" priority="42">
      <formula>COUNTIF(K5,"a")</formula>
    </cfRule>
    <cfRule type="expression" dxfId="6308" priority="43">
      <formula>COUNTIF(K5,"9")</formula>
    </cfRule>
    <cfRule type="expression" dxfId="6307" priority="44">
      <formula>COUNTIF(K5,"k")</formula>
    </cfRule>
    <cfRule type="expression" dxfId="6306" priority="45">
      <formula>COUNTIF(K5,"u")</formula>
    </cfRule>
    <cfRule type="expression" dxfId="6305" priority="46">
      <formula>COUNTIF(K5,"f")</formula>
    </cfRule>
    <cfRule type="expression" dxfId="6304" priority="47">
      <formula>COUNTIF(K5,"8")</formula>
    </cfRule>
    <cfRule type="expression" dxfId="6303" priority="48">
      <formula>COUNTIF(K5,"7")</formula>
    </cfRule>
    <cfRule type="expression" dxfId="6302" priority="49">
      <formula>COUNTIF(K5,"3")</formula>
    </cfRule>
    <cfRule type="expression" dxfId="6301" priority="51">
      <formula>COUNTIF(K5,"5")</formula>
    </cfRule>
    <cfRule type="expression" dxfId="6300" priority="52">
      <formula>COUNTIF(K5,"2")</formula>
    </cfRule>
    <cfRule type="expression" dxfId="6299" priority="53">
      <formula>COUNTIF(K5,"4")</formula>
    </cfRule>
    <cfRule type="expression" dxfId="6298" priority="54">
      <formula>COUNTIF(K5,"1")</formula>
    </cfRule>
  </conditionalFormatting>
  <conditionalFormatting sqref="L5:L36">
    <cfRule type="expression" dxfId="6297" priority="50">
      <formula>COUNTIF(K5,"6")</formula>
    </cfRule>
  </conditionalFormatting>
  <conditionalFormatting sqref="O5:O36">
    <cfRule type="expression" dxfId="6296" priority="29">
      <formula>COUNTIF(N5,"a")</formula>
    </cfRule>
    <cfRule type="expression" dxfId="6295" priority="30">
      <formula>COUNTIF(N5,"9")</formula>
    </cfRule>
    <cfRule type="expression" dxfId="6294" priority="31">
      <formula>COUNTIF(N5,"k")</formula>
    </cfRule>
    <cfRule type="expression" dxfId="6293" priority="32">
      <formula>COUNTIF(N5,"u")</formula>
    </cfRule>
    <cfRule type="expression" dxfId="6292" priority="33">
      <formula>COUNTIF(N5,"f")</formula>
    </cfRule>
    <cfRule type="expression" dxfId="6291" priority="34">
      <formula>COUNTIF(N5,"8")</formula>
    </cfRule>
    <cfRule type="expression" dxfId="6290" priority="35">
      <formula>COUNTIF(N5,"7")</formula>
    </cfRule>
    <cfRule type="expression" dxfId="6289" priority="36">
      <formula>COUNTIF(N5,"3")</formula>
    </cfRule>
    <cfRule type="expression" dxfId="6288" priority="38">
      <formula>COUNTIF(N5,"5")</formula>
    </cfRule>
    <cfRule type="expression" dxfId="6287" priority="39">
      <formula>COUNTIF(N5,"2")</formula>
    </cfRule>
    <cfRule type="expression" dxfId="6286" priority="40">
      <formula>COUNTIF(N5,"4")</formula>
    </cfRule>
    <cfRule type="expression" dxfId="6285" priority="41">
      <formula>COUNTIF(N5,"1")</formula>
    </cfRule>
  </conditionalFormatting>
  <conditionalFormatting sqref="O5:O36">
    <cfRule type="expression" dxfId="6284" priority="37">
      <formula>COUNTIF(N5,"6")</formula>
    </cfRule>
  </conditionalFormatting>
  <conditionalFormatting sqref="R5:R36">
    <cfRule type="expression" dxfId="6283" priority="16">
      <formula>COUNTIF(Q5,"a")</formula>
    </cfRule>
    <cfRule type="expression" dxfId="6282" priority="17">
      <formula>COUNTIF(Q5,"9")</formula>
    </cfRule>
    <cfRule type="expression" dxfId="6281" priority="18">
      <formula>COUNTIF(Q5,"k")</formula>
    </cfRule>
    <cfRule type="expression" dxfId="6280" priority="19">
      <formula>COUNTIF(Q5,"u")</formula>
    </cfRule>
    <cfRule type="expression" dxfId="6279" priority="20">
      <formula>COUNTIF(Q5,"f")</formula>
    </cfRule>
    <cfRule type="expression" dxfId="6278" priority="21">
      <formula>COUNTIF(Q5,"8")</formula>
    </cfRule>
    <cfRule type="expression" dxfId="6277" priority="22">
      <formula>COUNTIF(Q5,"7")</formula>
    </cfRule>
    <cfRule type="expression" dxfId="6276" priority="23">
      <formula>COUNTIF(Q5,"3")</formula>
    </cfRule>
    <cfRule type="expression" dxfId="6275" priority="25">
      <formula>COUNTIF(Q5,"5")</formula>
    </cfRule>
    <cfRule type="expression" dxfId="6274" priority="26">
      <formula>COUNTIF(Q5,"2")</formula>
    </cfRule>
    <cfRule type="expression" dxfId="6273" priority="27">
      <formula>COUNTIF(Q5,"4")</formula>
    </cfRule>
    <cfRule type="expression" dxfId="6272" priority="28">
      <formula>COUNTIF(Q5,"1")</formula>
    </cfRule>
  </conditionalFormatting>
  <conditionalFormatting sqref="R5:R36">
    <cfRule type="expression" dxfId="6271" priority="24">
      <formula>COUNTIF(Q5,"6")</formula>
    </cfRule>
  </conditionalFormatting>
  <conditionalFormatting sqref="U5:U36">
    <cfRule type="expression" dxfId="6270" priority="3">
      <formula>COUNTIF(T5,"a")</formula>
    </cfRule>
    <cfRule type="expression" dxfId="6269" priority="4">
      <formula>COUNTIF(T5,"9")</formula>
    </cfRule>
    <cfRule type="expression" dxfId="6268" priority="5">
      <formula>COUNTIF(T5,"k")</formula>
    </cfRule>
    <cfRule type="expression" dxfId="6267" priority="6">
      <formula>COUNTIF(T5,"u")</formula>
    </cfRule>
    <cfRule type="expression" dxfId="6266" priority="7">
      <formula>COUNTIF(T5,"f")</formula>
    </cfRule>
    <cfRule type="expression" dxfId="6265" priority="8">
      <formula>COUNTIF(T5,"8")</formula>
    </cfRule>
    <cfRule type="expression" dxfId="6264" priority="9">
      <formula>COUNTIF(T5,"7")</formula>
    </cfRule>
    <cfRule type="expression" dxfId="6263" priority="10">
      <formula>COUNTIF(T5,"3")</formula>
    </cfRule>
    <cfRule type="expression" dxfId="6262" priority="12">
      <formula>COUNTIF(T5,"5")</formula>
    </cfRule>
    <cfRule type="expression" dxfId="6261" priority="13">
      <formula>COUNTIF(T5,"2")</formula>
    </cfRule>
    <cfRule type="expression" dxfId="6260" priority="14">
      <formula>COUNTIF(T5,"4")</formula>
    </cfRule>
    <cfRule type="expression" dxfId="6259" priority="15">
      <formula>COUNTIF(T5,"1")</formula>
    </cfRule>
  </conditionalFormatting>
  <conditionalFormatting sqref="U5:U36">
    <cfRule type="expression" dxfId="6258" priority="11">
      <formula>COUNTIF(T5,"6")</formula>
    </cfRule>
  </conditionalFormatting>
  <conditionalFormatting sqref="V32">
    <cfRule type="cellIs" dxfId="6257" priority="1" operator="lessThan">
      <formula>0</formula>
    </cfRule>
    <cfRule type="cellIs" dxfId="625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AE944FA5-CF66-B444-BEE3-8802D84BA479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ECC5-7085-5C44-8BC5-D88E62FABD11}">
  <sheetPr codeName="Tabelle65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20</v>
      </c>
      <c r="Q1" s="176"/>
      <c r="R1" s="79">
        <f>DATE(V1,1,7*P1-3-WEEKDAY(DATE(V1,,),3))</f>
        <v>45425</v>
      </c>
      <c r="S1" s="80" t="s">
        <v>1</v>
      </c>
      <c r="T1" s="177">
        <f>DATE(V1,1,7*P1+3-WEEKDAY(DATE(V1,,),3))</f>
        <v>45431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45425</v>
      </c>
      <c r="B2" s="178"/>
      <c r="C2" s="178"/>
      <c r="D2" s="178">
        <f>A2+1</f>
        <v>45426</v>
      </c>
      <c r="E2" s="179"/>
      <c r="F2" s="179"/>
      <c r="G2" s="178">
        <f>D2+1</f>
        <v>45427</v>
      </c>
      <c r="H2" s="179"/>
      <c r="I2" s="179"/>
      <c r="J2" s="178">
        <f>G2+1</f>
        <v>45428</v>
      </c>
      <c r="K2" s="179"/>
      <c r="L2" s="179"/>
      <c r="M2" s="178">
        <f>J2+1</f>
        <v>45429</v>
      </c>
      <c r="N2" s="179"/>
      <c r="O2" s="179"/>
      <c r="P2" s="178">
        <f>M2+1</f>
        <v>45430</v>
      </c>
      <c r="Q2" s="179"/>
      <c r="R2" s="179"/>
      <c r="S2" s="178">
        <f>P2+1</f>
        <v>45431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45425</v>
      </c>
      <c r="B3" s="168"/>
      <c r="C3" s="168"/>
      <c r="D3" s="168">
        <f>A3+1</f>
        <v>45426</v>
      </c>
      <c r="E3" s="168"/>
      <c r="F3" s="168"/>
      <c r="G3" s="168">
        <f>D3+1</f>
        <v>45427</v>
      </c>
      <c r="H3" s="168"/>
      <c r="I3" s="168"/>
      <c r="J3" s="168">
        <f>G3+1</f>
        <v>45428</v>
      </c>
      <c r="K3" s="168"/>
      <c r="L3" s="168"/>
      <c r="M3" s="168">
        <f>J3+1</f>
        <v>45429</v>
      </c>
      <c r="N3" s="168"/>
      <c r="O3" s="168"/>
      <c r="P3" s="168">
        <f>M3+1</f>
        <v>45430</v>
      </c>
      <c r="Q3" s="168"/>
      <c r="R3" s="168"/>
      <c r="S3" s="168">
        <f>P3+1</f>
        <v>45431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45425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45426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45427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45428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45429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45430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45431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19'!V32</f>
        <v>-760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-800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255" priority="159">
      <formula>COUNTIF(B5,"a")</formula>
    </cfRule>
    <cfRule type="expression" dxfId="6254" priority="161">
      <formula>COUNTIF(B5,"9")</formula>
    </cfRule>
    <cfRule type="expression" dxfId="6253" priority="163">
      <formula>COUNTIF(B5,"k")</formula>
    </cfRule>
    <cfRule type="expression" dxfId="6252" priority="164">
      <formula>COUNTIF(B5,"u")</formula>
    </cfRule>
    <cfRule type="expression" dxfId="6251" priority="167">
      <formula>COUNTIF(B5,"f")</formula>
    </cfRule>
    <cfRule type="expression" dxfId="6250" priority="168">
      <formula>COUNTIF(B5,"8")</formula>
    </cfRule>
    <cfRule type="expression" dxfId="6249" priority="169">
      <formula>COUNTIF(B5,"7")</formula>
    </cfRule>
    <cfRule type="expression" dxfId="6248" priority="170">
      <formula>COUNTIF(B5,"3")</formula>
    </cfRule>
    <cfRule type="expression" dxfId="6247" priority="181">
      <formula>COUNTIF(B5,"5")</formula>
    </cfRule>
    <cfRule type="expression" dxfId="6246" priority="182">
      <formula>COUNTIF(B5,"2")</formula>
    </cfRule>
    <cfRule type="expression" dxfId="6245" priority="183">
      <formula>COUNTIF(B5,"4")</formula>
    </cfRule>
    <cfRule type="expression" dxfId="6244" priority="184">
      <formula>COUNTIF(B5,"1")</formula>
    </cfRule>
  </conditionalFormatting>
  <conditionalFormatting sqref="B5:B36">
    <cfRule type="cellIs" dxfId="6243" priority="160" operator="equal">
      <formula>"a"</formula>
    </cfRule>
    <cfRule type="cellIs" dxfId="6242" priority="162" operator="equal">
      <formula>"k"</formula>
    </cfRule>
    <cfRule type="cellIs" dxfId="6241" priority="165" operator="equal">
      <formula>"u"</formula>
    </cfRule>
    <cfRule type="cellIs" dxfId="6240" priority="166" operator="equal">
      <formula>"f"</formula>
    </cfRule>
    <cfRule type="cellIs" dxfId="6239" priority="171" operator="equal">
      <formula>9</formula>
    </cfRule>
    <cfRule type="cellIs" dxfId="6238" priority="172" operator="equal">
      <formula>8</formula>
    </cfRule>
    <cfRule type="cellIs" dxfId="6237" priority="173" operator="equal">
      <formula>5</formula>
    </cfRule>
    <cfRule type="cellIs" dxfId="6236" priority="174" operator="equal">
      <formula>3</formula>
    </cfRule>
    <cfRule type="cellIs" dxfId="6235" priority="176" operator="equal">
      <formula>6</formula>
    </cfRule>
    <cfRule type="cellIs" dxfId="6234" priority="177" operator="equal">
      <formula>4</formula>
    </cfRule>
    <cfRule type="cellIs" dxfId="6233" priority="178" operator="equal">
      <formula>2</formula>
    </cfRule>
    <cfRule type="cellIs" dxfId="6232" priority="179" operator="equal">
      <formula>7</formula>
    </cfRule>
    <cfRule type="cellIs" dxfId="6231" priority="180" operator="equal">
      <formula>1</formula>
    </cfRule>
  </conditionalFormatting>
  <conditionalFormatting sqref="C5:C36">
    <cfRule type="expression" dxfId="6230" priority="175">
      <formula>COUNTIF(B5,"6")</formula>
    </cfRule>
  </conditionalFormatting>
  <conditionalFormatting sqref="E5:E36">
    <cfRule type="cellIs" dxfId="6229" priority="146" operator="equal">
      <formula>"a"</formula>
    </cfRule>
    <cfRule type="cellIs" dxfId="6228" priority="147" operator="equal">
      <formula>"k"</formula>
    </cfRule>
    <cfRule type="cellIs" dxfId="6227" priority="148" operator="equal">
      <formula>"u"</formula>
    </cfRule>
    <cfRule type="cellIs" dxfId="6226" priority="149" operator="equal">
      <formula>"f"</formula>
    </cfRule>
    <cfRule type="cellIs" dxfId="6225" priority="150" operator="equal">
      <formula>9</formula>
    </cfRule>
    <cfRule type="cellIs" dxfId="6224" priority="151" operator="equal">
      <formula>8</formula>
    </cfRule>
    <cfRule type="cellIs" dxfId="6223" priority="152" operator="equal">
      <formula>5</formula>
    </cfRule>
    <cfRule type="cellIs" dxfId="6222" priority="153" operator="equal">
      <formula>3</formula>
    </cfRule>
    <cfRule type="cellIs" dxfId="6221" priority="154" operator="equal">
      <formula>6</formula>
    </cfRule>
    <cfRule type="cellIs" dxfId="6220" priority="155" operator="equal">
      <formula>4</formula>
    </cfRule>
    <cfRule type="cellIs" dxfId="6219" priority="156" operator="equal">
      <formula>2</formula>
    </cfRule>
    <cfRule type="cellIs" dxfId="6218" priority="157" operator="equal">
      <formula>7</formula>
    </cfRule>
    <cfRule type="cellIs" dxfId="6217" priority="158" operator="equal">
      <formula>1</formula>
    </cfRule>
  </conditionalFormatting>
  <conditionalFormatting sqref="H5:H36">
    <cfRule type="cellIs" dxfId="6216" priority="133" operator="equal">
      <formula>"a"</formula>
    </cfRule>
    <cfRule type="cellIs" dxfId="6215" priority="134" operator="equal">
      <formula>"k"</formula>
    </cfRule>
    <cfRule type="cellIs" dxfId="6214" priority="135" operator="equal">
      <formula>"u"</formula>
    </cfRule>
    <cfRule type="cellIs" dxfId="6213" priority="136" operator="equal">
      <formula>"f"</formula>
    </cfRule>
    <cfRule type="cellIs" dxfId="6212" priority="137" operator="equal">
      <formula>9</formula>
    </cfRule>
    <cfRule type="cellIs" dxfId="6211" priority="138" operator="equal">
      <formula>8</formula>
    </cfRule>
    <cfRule type="cellIs" dxfId="6210" priority="139" operator="equal">
      <formula>5</formula>
    </cfRule>
    <cfRule type="cellIs" dxfId="6209" priority="140" operator="equal">
      <formula>3</formula>
    </cfRule>
    <cfRule type="cellIs" dxfId="6208" priority="141" operator="equal">
      <formula>6</formula>
    </cfRule>
    <cfRule type="cellIs" dxfId="6207" priority="142" operator="equal">
      <formula>4</formula>
    </cfRule>
    <cfRule type="cellIs" dxfId="6206" priority="143" operator="equal">
      <formula>2</formula>
    </cfRule>
    <cfRule type="cellIs" dxfId="6205" priority="144" operator="equal">
      <formula>7</formula>
    </cfRule>
    <cfRule type="cellIs" dxfId="6204" priority="145" operator="equal">
      <formula>1</formula>
    </cfRule>
  </conditionalFormatting>
  <conditionalFormatting sqref="K5:K36">
    <cfRule type="cellIs" dxfId="6203" priority="120" operator="equal">
      <formula>"a"</formula>
    </cfRule>
    <cfRule type="cellIs" dxfId="6202" priority="121" operator="equal">
      <formula>"k"</formula>
    </cfRule>
    <cfRule type="cellIs" dxfId="6201" priority="122" operator="equal">
      <formula>"u"</formula>
    </cfRule>
    <cfRule type="cellIs" dxfId="6200" priority="123" operator="equal">
      <formula>"f"</formula>
    </cfRule>
    <cfRule type="cellIs" dxfId="6199" priority="124" operator="equal">
      <formula>9</formula>
    </cfRule>
    <cfRule type="cellIs" dxfId="6198" priority="125" operator="equal">
      <formula>8</formula>
    </cfRule>
    <cfRule type="cellIs" dxfId="6197" priority="126" operator="equal">
      <formula>5</formula>
    </cfRule>
    <cfRule type="cellIs" dxfId="6196" priority="127" operator="equal">
      <formula>3</formula>
    </cfRule>
    <cfRule type="cellIs" dxfId="6195" priority="128" operator="equal">
      <formula>6</formula>
    </cfRule>
    <cfRule type="cellIs" dxfId="6194" priority="129" operator="equal">
      <formula>4</formula>
    </cfRule>
    <cfRule type="cellIs" dxfId="6193" priority="130" operator="equal">
      <formula>2</formula>
    </cfRule>
    <cfRule type="cellIs" dxfId="6192" priority="131" operator="equal">
      <formula>7</formula>
    </cfRule>
    <cfRule type="cellIs" dxfId="6191" priority="132" operator="equal">
      <formula>1</formula>
    </cfRule>
  </conditionalFormatting>
  <conditionalFormatting sqref="N5:N36">
    <cfRule type="cellIs" dxfId="6190" priority="107" operator="equal">
      <formula>"a"</formula>
    </cfRule>
    <cfRule type="cellIs" dxfId="6189" priority="108" operator="equal">
      <formula>"k"</formula>
    </cfRule>
    <cfRule type="cellIs" dxfId="6188" priority="109" operator="equal">
      <formula>"u"</formula>
    </cfRule>
    <cfRule type="cellIs" dxfId="6187" priority="110" operator="equal">
      <formula>"f"</formula>
    </cfRule>
    <cfRule type="cellIs" dxfId="6186" priority="111" operator="equal">
      <formula>9</formula>
    </cfRule>
    <cfRule type="cellIs" dxfId="6185" priority="112" operator="equal">
      <formula>8</formula>
    </cfRule>
    <cfRule type="cellIs" dxfId="6184" priority="113" operator="equal">
      <formula>5</formula>
    </cfRule>
    <cfRule type="cellIs" dxfId="6183" priority="114" operator="equal">
      <formula>3</formula>
    </cfRule>
    <cfRule type="cellIs" dxfId="6182" priority="115" operator="equal">
      <formula>6</formula>
    </cfRule>
    <cfRule type="cellIs" dxfId="6181" priority="116" operator="equal">
      <formula>4</formula>
    </cfRule>
    <cfRule type="cellIs" dxfId="6180" priority="117" operator="equal">
      <formula>2</formula>
    </cfRule>
    <cfRule type="cellIs" dxfId="6179" priority="118" operator="equal">
      <formula>7</formula>
    </cfRule>
    <cfRule type="cellIs" dxfId="6178" priority="119" operator="equal">
      <formula>1</formula>
    </cfRule>
  </conditionalFormatting>
  <conditionalFormatting sqref="Q5:Q36">
    <cfRule type="cellIs" dxfId="6177" priority="94" operator="equal">
      <formula>"a"</formula>
    </cfRule>
    <cfRule type="cellIs" dxfId="6176" priority="95" operator="equal">
      <formula>"k"</formula>
    </cfRule>
    <cfRule type="cellIs" dxfId="6175" priority="96" operator="equal">
      <formula>"u"</formula>
    </cfRule>
    <cfRule type="cellIs" dxfId="6174" priority="97" operator="equal">
      <formula>"f"</formula>
    </cfRule>
    <cfRule type="cellIs" dxfId="6173" priority="98" operator="equal">
      <formula>9</formula>
    </cfRule>
    <cfRule type="cellIs" dxfId="6172" priority="99" operator="equal">
      <formula>8</formula>
    </cfRule>
    <cfRule type="cellIs" dxfId="6171" priority="100" operator="equal">
      <formula>5</formula>
    </cfRule>
    <cfRule type="cellIs" dxfId="6170" priority="101" operator="equal">
      <formula>3</formula>
    </cfRule>
    <cfRule type="cellIs" dxfId="6169" priority="102" operator="equal">
      <formula>6</formula>
    </cfRule>
    <cfRule type="cellIs" dxfId="6168" priority="103" operator="equal">
      <formula>4</formula>
    </cfRule>
    <cfRule type="cellIs" dxfId="6167" priority="104" operator="equal">
      <formula>2</formula>
    </cfRule>
    <cfRule type="cellIs" dxfId="6166" priority="105" operator="equal">
      <formula>7</formula>
    </cfRule>
    <cfRule type="cellIs" dxfId="6165" priority="106" operator="equal">
      <formula>1</formula>
    </cfRule>
  </conditionalFormatting>
  <conditionalFormatting sqref="T5:T36">
    <cfRule type="cellIs" dxfId="6164" priority="81" operator="equal">
      <formula>"a"</formula>
    </cfRule>
    <cfRule type="cellIs" dxfId="6163" priority="82" operator="equal">
      <formula>"k"</formula>
    </cfRule>
    <cfRule type="cellIs" dxfId="6162" priority="83" operator="equal">
      <formula>"u"</formula>
    </cfRule>
    <cfRule type="cellIs" dxfId="6161" priority="84" operator="equal">
      <formula>"f"</formula>
    </cfRule>
    <cfRule type="cellIs" dxfId="6160" priority="85" operator="equal">
      <formula>9</formula>
    </cfRule>
    <cfRule type="cellIs" dxfId="6159" priority="86" operator="equal">
      <formula>8</formula>
    </cfRule>
    <cfRule type="cellIs" dxfId="6158" priority="87" operator="equal">
      <formula>5</formula>
    </cfRule>
    <cfRule type="cellIs" dxfId="6157" priority="88" operator="equal">
      <formula>3</formula>
    </cfRule>
    <cfRule type="cellIs" dxfId="6156" priority="89" operator="equal">
      <formula>6</formula>
    </cfRule>
    <cfRule type="cellIs" dxfId="6155" priority="90" operator="equal">
      <formula>4</formula>
    </cfRule>
    <cfRule type="cellIs" dxfId="6154" priority="91" operator="equal">
      <formula>2</formula>
    </cfRule>
    <cfRule type="cellIs" dxfId="6153" priority="92" operator="equal">
      <formula>7</formula>
    </cfRule>
    <cfRule type="cellIs" dxfId="6152" priority="93" operator="equal">
      <formula>1</formula>
    </cfRule>
  </conditionalFormatting>
  <conditionalFormatting sqref="F5:F36">
    <cfRule type="expression" dxfId="6151" priority="68">
      <formula>COUNTIF(E5,"a")</formula>
    </cfRule>
    <cfRule type="expression" dxfId="6150" priority="69">
      <formula>COUNTIF(E5,"9")</formula>
    </cfRule>
    <cfRule type="expression" dxfId="6149" priority="70">
      <formula>COUNTIF(E5,"k")</formula>
    </cfRule>
    <cfRule type="expression" dxfId="6148" priority="71">
      <formula>COUNTIF(E5,"u")</formula>
    </cfRule>
    <cfRule type="expression" dxfId="6147" priority="72">
      <formula>COUNTIF(E5,"f")</formula>
    </cfRule>
    <cfRule type="expression" dxfId="6146" priority="73">
      <formula>COUNTIF(E5,"8")</formula>
    </cfRule>
    <cfRule type="expression" dxfId="6145" priority="74">
      <formula>COUNTIF(E5,"7")</formula>
    </cfRule>
    <cfRule type="expression" dxfId="6144" priority="75">
      <formula>COUNTIF(E5,"3")</formula>
    </cfRule>
    <cfRule type="expression" dxfId="6143" priority="77">
      <formula>COUNTIF(E5,"5")</formula>
    </cfRule>
    <cfRule type="expression" dxfId="6142" priority="78">
      <formula>COUNTIF(E5,"2")</formula>
    </cfRule>
    <cfRule type="expression" dxfId="6141" priority="79">
      <formula>COUNTIF(E5,"4")</formula>
    </cfRule>
    <cfRule type="expression" dxfId="6140" priority="80">
      <formula>COUNTIF(E5,"1")</formula>
    </cfRule>
  </conditionalFormatting>
  <conditionalFormatting sqref="F5:F36">
    <cfRule type="expression" dxfId="6139" priority="76">
      <formula>COUNTIF(E5,"6")</formula>
    </cfRule>
  </conditionalFormatting>
  <conditionalFormatting sqref="I5:I36">
    <cfRule type="expression" dxfId="6138" priority="55">
      <formula>COUNTIF(H5,"a")</formula>
    </cfRule>
    <cfRule type="expression" dxfId="6137" priority="56">
      <formula>COUNTIF(H5,"9")</formula>
    </cfRule>
    <cfRule type="expression" dxfId="6136" priority="57">
      <formula>COUNTIF(H5,"k")</formula>
    </cfRule>
    <cfRule type="expression" dxfId="6135" priority="58">
      <formula>COUNTIF(H5,"u")</formula>
    </cfRule>
    <cfRule type="expression" dxfId="6134" priority="59">
      <formula>COUNTIF(H5,"f")</formula>
    </cfRule>
    <cfRule type="expression" dxfId="6133" priority="60">
      <formula>COUNTIF(H5,"8")</formula>
    </cfRule>
    <cfRule type="expression" dxfId="6132" priority="61">
      <formula>COUNTIF(H5,"7")</formula>
    </cfRule>
    <cfRule type="expression" dxfId="6131" priority="62">
      <formula>COUNTIF(H5,"3")</formula>
    </cfRule>
    <cfRule type="expression" dxfId="6130" priority="64">
      <formula>COUNTIF(H5,"5")</formula>
    </cfRule>
    <cfRule type="expression" dxfId="6129" priority="65">
      <formula>COUNTIF(H5,"2")</formula>
    </cfRule>
    <cfRule type="expression" dxfId="6128" priority="66">
      <formula>COUNTIF(H5,"4")</formula>
    </cfRule>
    <cfRule type="expression" dxfId="6127" priority="67">
      <formula>COUNTIF(H5,"1")</formula>
    </cfRule>
  </conditionalFormatting>
  <conditionalFormatting sqref="I5:I36">
    <cfRule type="expression" dxfId="6126" priority="63">
      <formula>COUNTIF(H5,"6")</formula>
    </cfRule>
  </conditionalFormatting>
  <conditionalFormatting sqref="L5:L36">
    <cfRule type="expression" dxfId="6125" priority="42">
      <formula>COUNTIF(K5,"a")</formula>
    </cfRule>
    <cfRule type="expression" dxfId="6124" priority="43">
      <formula>COUNTIF(K5,"9")</formula>
    </cfRule>
    <cfRule type="expression" dxfId="6123" priority="44">
      <formula>COUNTIF(K5,"k")</formula>
    </cfRule>
    <cfRule type="expression" dxfId="6122" priority="45">
      <formula>COUNTIF(K5,"u")</formula>
    </cfRule>
    <cfRule type="expression" dxfId="6121" priority="46">
      <formula>COUNTIF(K5,"f")</formula>
    </cfRule>
    <cfRule type="expression" dxfId="6120" priority="47">
      <formula>COUNTIF(K5,"8")</formula>
    </cfRule>
    <cfRule type="expression" dxfId="6119" priority="48">
      <formula>COUNTIF(K5,"7")</formula>
    </cfRule>
    <cfRule type="expression" dxfId="6118" priority="49">
      <formula>COUNTIF(K5,"3")</formula>
    </cfRule>
    <cfRule type="expression" dxfId="6117" priority="51">
      <formula>COUNTIF(K5,"5")</formula>
    </cfRule>
    <cfRule type="expression" dxfId="6116" priority="52">
      <formula>COUNTIF(K5,"2")</formula>
    </cfRule>
    <cfRule type="expression" dxfId="6115" priority="53">
      <formula>COUNTIF(K5,"4")</formula>
    </cfRule>
    <cfRule type="expression" dxfId="6114" priority="54">
      <formula>COUNTIF(K5,"1")</formula>
    </cfRule>
  </conditionalFormatting>
  <conditionalFormatting sqref="L5:L36">
    <cfRule type="expression" dxfId="6113" priority="50">
      <formula>COUNTIF(K5,"6")</formula>
    </cfRule>
  </conditionalFormatting>
  <conditionalFormatting sqref="O5:O36">
    <cfRule type="expression" dxfId="6112" priority="29">
      <formula>COUNTIF(N5,"a")</formula>
    </cfRule>
    <cfRule type="expression" dxfId="6111" priority="30">
      <formula>COUNTIF(N5,"9")</formula>
    </cfRule>
    <cfRule type="expression" dxfId="6110" priority="31">
      <formula>COUNTIF(N5,"k")</formula>
    </cfRule>
    <cfRule type="expression" dxfId="6109" priority="32">
      <formula>COUNTIF(N5,"u")</formula>
    </cfRule>
    <cfRule type="expression" dxfId="6108" priority="33">
      <formula>COUNTIF(N5,"f")</formula>
    </cfRule>
    <cfRule type="expression" dxfId="6107" priority="34">
      <formula>COUNTIF(N5,"8")</formula>
    </cfRule>
    <cfRule type="expression" dxfId="6106" priority="35">
      <formula>COUNTIF(N5,"7")</formula>
    </cfRule>
    <cfRule type="expression" dxfId="6105" priority="36">
      <formula>COUNTIF(N5,"3")</formula>
    </cfRule>
    <cfRule type="expression" dxfId="6104" priority="38">
      <formula>COUNTIF(N5,"5")</formula>
    </cfRule>
    <cfRule type="expression" dxfId="6103" priority="39">
      <formula>COUNTIF(N5,"2")</formula>
    </cfRule>
    <cfRule type="expression" dxfId="6102" priority="40">
      <formula>COUNTIF(N5,"4")</formula>
    </cfRule>
    <cfRule type="expression" dxfId="6101" priority="41">
      <formula>COUNTIF(N5,"1")</formula>
    </cfRule>
  </conditionalFormatting>
  <conditionalFormatting sqref="O5:O36">
    <cfRule type="expression" dxfId="6100" priority="37">
      <formula>COUNTIF(N5,"6")</formula>
    </cfRule>
  </conditionalFormatting>
  <conditionalFormatting sqref="R5:R36">
    <cfRule type="expression" dxfId="6099" priority="16">
      <formula>COUNTIF(Q5,"a")</formula>
    </cfRule>
    <cfRule type="expression" dxfId="6098" priority="17">
      <formula>COUNTIF(Q5,"9")</formula>
    </cfRule>
    <cfRule type="expression" dxfId="6097" priority="18">
      <formula>COUNTIF(Q5,"k")</formula>
    </cfRule>
    <cfRule type="expression" dxfId="6096" priority="19">
      <formula>COUNTIF(Q5,"u")</formula>
    </cfRule>
    <cfRule type="expression" dxfId="6095" priority="20">
      <formula>COUNTIF(Q5,"f")</formula>
    </cfRule>
    <cfRule type="expression" dxfId="6094" priority="21">
      <formula>COUNTIF(Q5,"8")</formula>
    </cfRule>
    <cfRule type="expression" dxfId="6093" priority="22">
      <formula>COUNTIF(Q5,"7")</formula>
    </cfRule>
    <cfRule type="expression" dxfId="6092" priority="23">
      <formula>COUNTIF(Q5,"3")</formula>
    </cfRule>
    <cfRule type="expression" dxfId="6091" priority="25">
      <formula>COUNTIF(Q5,"5")</formula>
    </cfRule>
    <cfRule type="expression" dxfId="6090" priority="26">
      <formula>COUNTIF(Q5,"2")</formula>
    </cfRule>
    <cfRule type="expression" dxfId="6089" priority="27">
      <formula>COUNTIF(Q5,"4")</formula>
    </cfRule>
    <cfRule type="expression" dxfId="6088" priority="28">
      <formula>COUNTIF(Q5,"1")</formula>
    </cfRule>
  </conditionalFormatting>
  <conditionalFormatting sqref="R5:R36">
    <cfRule type="expression" dxfId="6087" priority="24">
      <formula>COUNTIF(Q5,"6")</formula>
    </cfRule>
  </conditionalFormatting>
  <conditionalFormatting sqref="U5:U36">
    <cfRule type="expression" dxfId="6086" priority="3">
      <formula>COUNTIF(T5,"a")</formula>
    </cfRule>
    <cfRule type="expression" dxfId="6085" priority="4">
      <formula>COUNTIF(T5,"9")</formula>
    </cfRule>
    <cfRule type="expression" dxfId="6084" priority="5">
      <formula>COUNTIF(T5,"k")</formula>
    </cfRule>
    <cfRule type="expression" dxfId="6083" priority="6">
      <formula>COUNTIF(T5,"u")</formula>
    </cfRule>
    <cfRule type="expression" dxfId="6082" priority="7">
      <formula>COUNTIF(T5,"f")</formula>
    </cfRule>
    <cfRule type="expression" dxfId="6081" priority="8">
      <formula>COUNTIF(T5,"8")</formula>
    </cfRule>
    <cfRule type="expression" dxfId="6080" priority="9">
      <formula>COUNTIF(T5,"7")</formula>
    </cfRule>
    <cfRule type="expression" dxfId="6079" priority="10">
      <formula>COUNTIF(T5,"3")</formula>
    </cfRule>
    <cfRule type="expression" dxfId="6078" priority="12">
      <formula>COUNTIF(T5,"5")</formula>
    </cfRule>
    <cfRule type="expression" dxfId="6077" priority="13">
      <formula>COUNTIF(T5,"2")</formula>
    </cfRule>
    <cfRule type="expression" dxfId="6076" priority="14">
      <formula>COUNTIF(T5,"4")</formula>
    </cfRule>
    <cfRule type="expression" dxfId="6075" priority="15">
      <formula>COUNTIF(T5,"1")</formula>
    </cfRule>
  </conditionalFormatting>
  <conditionalFormatting sqref="U5:U36">
    <cfRule type="expression" dxfId="6074" priority="11">
      <formula>COUNTIF(T5,"6")</formula>
    </cfRule>
  </conditionalFormatting>
  <conditionalFormatting sqref="V32">
    <cfRule type="cellIs" dxfId="6073" priority="1" operator="lessThan">
      <formula>0</formula>
    </cfRule>
    <cfRule type="cellIs" dxfId="607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23F087FC-0C42-B74F-BC59-E15238ED7BAC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401A-D87B-8E4C-9194-395A5845412B}">
  <sheetPr codeName="Tabelle6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21</v>
      </c>
      <c r="Q1" s="176"/>
      <c r="R1" s="79">
        <f>DATE(V1,1,7*P1-3-WEEKDAY(DATE(V1,,),3))</f>
        <v>45432</v>
      </c>
      <c r="S1" s="80" t="s">
        <v>1</v>
      </c>
      <c r="T1" s="177">
        <f>DATE(V1,1,7*P1+3-WEEKDAY(DATE(V1,,),3))</f>
        <v>45438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45432</v>
      </c>
      <c r="B2" s="178"/>
      <c r="C2" s="178"/>
      <c r="D2" s="178">
        <f>A2+1</f>
        <v>45433</v>
      </c>
      <c r="E2" s="179"/>
      <c r="F2" s="179"/>
      <c r="G2" s="178">
        <f>D2+1</f>
        <v>45434</v>
      </c>
      <c r="H2" s="179"/>
      <c r="I2" s="179"/>
      <c r="J2" s="178">
        <f>G2+1</f>
        <v>45435</v>
      </c>
      <c r="K2" s="179"/>
      <c r="L2" s="179"/>
      <c r="M2" s="178">
        <f>J2+1</f>
        <v>45436</v>
      </c>
      <c r="N2" s="179"/>
      <c r="O2" s="179"/>
      <c r="P2" s="178">
        <f>M2+1</f>
        <v>45437</v>
      </c>
      <c r="Q2" s="179"/>
      <c r="R2" s="179"/>
      <c r="S2" s="178">
        <f>P2+1</f>
        <v>45438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45432</v>
      </c>
      <c r="B3" s="168"/>
      <c r="C3" s="168"/>
      <c r="D3" s="168">
        <f>A3+1</f>
        <v>45433</v>
      </c>
      <c r="E3" s="168"/>
      <c r="F3" s="168"/>
      <c r="G3" s="168">
        <f>D3+1</f>
        <v>45434</v>
      </c>
      <c r="H3" s="168"/>
      <c r="I3" s="168"/>
      <c r="J3" s="168">
        <f>G3+1</f>
        <v>45435</v>
      </c>
      <c r="K3" s="168"/>
      <c r="L3" s="168"/>
      <c r="M3" s="168">
        <f>J3+1</f>
        <v>45436</v>
      </c>
      <c r="N3" s="168"/>
      <c r="O3" s="168"/>
      <c r="P3" s="168">
        <f>M3+1</f>
        <v>45437</v>
      </c>
      <c r="Q3" s="168"/>
      <c r="R3" s="168"/>
      <c r="S3" s="168">
        <f>P3+1</f>
        <v>45438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45432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45433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45434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45435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45436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45437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45438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20'!V32</f>
        <v>-800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-840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6071" priority="159">
      <formula>COUNTIF(B5,"a")</formula>
    </cfRule>
    <cfRule type="expression" dxfId="6070" priority="161">
      <formula>COUNTIF(B5,"9")</formula>
    </cfRule>
    <cfRule type="expression" dxfId="6069" priority="163">
      <formula>COUNTIF(B5,"k")</formula>
    </cfRule>
    <cfRule type="expression" dxfId="6068" priority="164">
      <formula>COUNTIF(B5,"u")</formula>
    </cfRule>
    <cfRule type="expression" dxfId="6067" priority="167">
      <formula>COUNTIF(B5,"f")</formula>
    </cfRule>
    <cfRule type="expression" dxfId="6066" priority="168">
      <formula>COUNTIF(B5,"8")</formula>
    </cfRule>
    <cfRule type="expression" dxfId="6065" priority="169">
      <formula>COUNTIF(B5,"7")</formula>
    </cfRule>
    <cfRule type="expression" dxfId="6064" priority="170">
      <formula>COUNTIF(B5,"3")</formula>
    </cfRule>
    <cfRule type="expression" dxfId="6063" priority="181">
      <formula>COUNTIF(B5,"5")</formula>
    </cfRule>
    <cfRule type="expression" dxfId="6062" priority="182">
      <formula>COUNTIF(B5,"2")</formula>
    </cfRule>
    <cfRule type="expression" dxfId="6061" priority="183">
      <formula>COUNTIF(B5,"4")</formula>
    </cfRule>
    <cfRule type="expression" dxfId="6060" priority="184">
      <formula>COUNTIF(B5,"1")</formula>
    </cfRule>
  </conditionalFormatting>
  <conditionalFormatting sqref="B5:B36">
    <cfRule type="cellIs" dxfId="6059" priority="160" operator="equal">
      <formula>"a"</formula>
    </cfRule>
    <cfRule type="cellIs" dxfId="6058" priority="162" operator="equal">
      <formula>"k"</formula>
    </cfRule>
    <cfRule type="cellIs" dxfId="6057" priority="165" operator="equal">
      <formula>"u"</formula>
    </cfRule>
    <cfRule type="cellIs" dxfId="6056" priority="166" operator="equal">
      <formula>"f"</formula>
    </cfRule>
    <cfRule type="cellIs" dxfId="6055" priority="171" operator="equal">
      <formula>9</formula>
    </cfRule>
    <cfRule type="cellIs" dxfId="6054" priority="172" operator="equal">
      <formula>8</formula>
    </cfRule>
    <cfRule type="cellIs" dxfId="6053" priority="173" operator="equal">
      <formula>5</formula>
    </cfRule>
    <cfRule type="cellIs" dxfId="6052" priority="174" operator="equal">
      <formula>3</formula>
    </cfRule>
    <cfRule type="cellIs" dxfId="6051" priority="176" operator="equal">
      <formula>6</formula>
    </cfRule>
    <cfRule type="cellIs" dxfId="6050" priority="177" operator="equal">
      <formula>4</formula>
    </cfRule>
    <cfRule type="cellIs" dxfId="6049" priority="178" operator="equal">
      <formula>2</formula>
    </cfRule>
    <cfRule type="cellIs" dxfId="6048" priority="179" operator="equal">
      <formula>7</formula>
    </cfRule>
    <cfRule type="cellIs" dxfId="6047" priority="180" operator="equal">
      <formula>1</formula>
    </cfRule>
  </conditionalFormatting>
  <conditionalFormatting sqref="C5:C36">
    <cfRule type="expression" dxfId="6046" priority="175">
      <formula>COUNTIF(B5,"6")</formula>
    </cfRule>
  </conditionalFormatting>
  <conditionalFormatting sqref="E5:E36">
    <cfRule type="cellIs" dxfId="6045" priority="146" operator="equal">
      <formula>"a"</formula>
    </cfRule>
    <cfRule type="cellIs" dxfId="6044" priority="147" operator="equal">
      <formula>"k"</formula>
    </cfRule>
    <cfRule type="cellIs" dxfId="6043" priority="148" operator="equal">
      <formula>"u"</formula>
    </cfRule>
    <cfRule type="cellIs" dxfId="6042" priority="149" operator="equal">
      <formula>"f"</formula>
    </cfRule>
    <cfRule type="cellIs" dxfId="6041" priority="150" operator="equal">
      <formula>9</formula>
    </cfRule>
    <cfRule type="cellIs" dxfId="6040" priority="151" operator="equal">
      <formula>8</formula>
    </cfRule>
    <cfRule type="cellIs" dxfId="6039" priority="152" operator="equal">
      <formula>5</formula>
    </cfRule>
    <cfRule type="cellIs" dxfId="6038" priority="153" operator="equal">
      <formula>3</formula>
    </cfRule>
    <cfRule type="cellIs" dxfId="6037" priority="154" operator="equal">
      <formula>6</formula>
    </cfRule>
    <cfRule type="cellIs" dxfId="6036" priority="155" operator="equal">
      <formula>4</formula>
    </cfRule>
    <cfRule type="cellIs" dxfId="6035" priority="156" operator="equal">
      <formula>2</formula>
    </cfRule>
    <cfRule type="cellIs" dxfId="6034" priority="157" operator="equal">
      <formula>7</formula>
    </cfRule>
    <cfRule type="cellIs" dxfId="6033" priority="158" operator="equal">
      <formula>1</formula>
    </cfRule>
  </conditionalFormatting>
  <conditionalFormatting sqref="H5:H36">
    <cfRule type="cellIs" dxfId="6032" priority="133" operator="equal">
      <formula>"a"</formula>
    </cfRule>
    <cfRule type="cellIs" dxfId="6031" priority="134" operator="equal">
      <formula>"k"</formula>
    </cfRule>
    <cfRule type="cellIs" dxfId="6030" priority="135" operator="equal">
      <formula>"u"</formula>
    </cfRule>
    <cfRule type="cellIs" dxfId="6029" priority="136" operator="equal">
      <formula>"f"</formula>
    </cfRule>
    <cfRule type="cellIs" dxfId="6028" priority="137" operator="equal">
      <formula>9</formula>
    </cfRule>
    <cfRule type="cellIs" dxfId="6027" priority="138" operator="equal">
      <formula>8</formula>
    </cfRule>
    <cfRule type="cellIs" dxfId="6026" priority="139" operator="equal">
      <formula>5</formula>
    </cfRule>
    <cfRule type="cellIs" dxfId="6025" priority="140" operator="equal">
      <formula>3</formula>
    </cfRule>
    <cfRule type="cellIs" dxfId="6024" priority="141" operator="equal">
      <formula>6</formula>
    </cfRule>
    <cfRule type="cellIs" dxfId="6023" priority="142" operator="equal">
      <formula>4</formula>
    </cfRule>
    <cfRule type="cellIs" dxfId="6022" priority="143" operator="equal">
      <formula>2</formula>
    </cfRule>
    <cfRule type="cellIs" dxfId="6021" priority="144" operator="equal">
      <formula>7</formula>
    </cfRule>
    <cfRule type="cellIs" dxfId="6020" priority="145" operator="equal">
      <formula>1</formula>
    </cfRule>
  </conditionalFormatting>
  <conditionalFormatting sqref="K5:K36">
    <cfRule type="cellIs" dxfId="6019" priority="120" operator="equal">
      <formula>"a"</formula>
    </cfRule>
    <cfRule type="cellIs" dxfId="6018" priority="121" operator="equal">
      <formula>"k"</formula>
    </cfRule>
    <cfRule type="cellIs" dxfId="6017" priority="122" operator="equal">
      <formula>"u"</formula>
    </cfRule>
    <cfRule type="cellIs" dxfId="6016" priority="123" operator="equal">
      <formula>"f"</formula>
    </cfRule>
    <cfRule type="cellIs" dxfId="6015" priority="124" operator="equal">
      <formula>9</formula>
    </cfRule>
    <cfRule type="cellIs" dxfId="6014" priority="125" operator="equal">
      <formula>8</formula>
    </cfRule>
    <cfRule type="cellIs" dxfId="6013" priority="126" operator="equal">
      <formula>5</formula>
    </cfRule>
    <cfRule type="cellIs" dxfId="6012" priority="127" operator="equal">
      <formula>3</formula>
    </cfRule>
    <cfRule type="cellIs" dxfId="6011" priority="128" operator="equal">
      <formula>6</formula>
    </cfRule>
    <cfRule type="cellIs" dxfId="6010" priority="129" operator="equal">
      <formula>4</formula>
    </cfRule>
    <cfRule type="cellIs" dxfId="6009" priority="130" operator="equal">
      <formula>2</formula>
    </cfRule>
    <cfRule type="cellIs" dxfId="6008" priority="131" operator="equal">
      <formula>7</formula>
    </cfRule>
    <cfRule type="cellIs" dxfId="6007" priority="132" operator="equal">
      <formula>1</formula>
    </cfRule>
  </conditionalFormatting>
  <conditionalFormatting sqref="N5:N36">
    <cfRule type="cellIs" dxfId="6006" priority="107" operator="equal">
      <formula>"a"</formula>
    </cfRule>
    <cfRule type="cellIs" dxfId="6005" priority="108" operator="equal">
      <formula>"k"</formula>
    </cfRule>
    <cfRule type="cellIs" dxfId="6004" priority="109" operator="equal">
      <formula>"u"</formula>
    </cfRule>
    <cfRule type="cellIs" dxfId="6003" priority="110" operator="equal">
      <formula>"f"</formula>
    </cfRule>
    <cfRule type="cellIs" dxfId="6002" priority="111" operator="equal">
      <formula>9</formula>
    </cfRule>
    <cfRule type="cellIs" dxfId="6001" priority="112" operator="equal">
      <formula>8</formula>
    </cfRule>
    <cfRule type="cellIs" dxfId="6000" priority="113" operator="equal">
      <formula>5</formula>
    </cfRule>
    <cfRule type="cellIs" dxfId="5999" priority="114" operator="equal">
      <formula>3</formula>
    </cfRule>
    <cfRule type="cellIs" dxfId="5998" priority="115" operator="equal">
      <formula>6</formula>
    </cfRule>
    <cfRule type="cellIs" dxfId="5997" priority="116" operator="equal">
      <formula>4</formula>
    </cfRule>
    <cfRule type="cellIs" dxfId="5996" priority="117" operator="equal">
      <formula>2</formula>
    </cfRule>
    <cfRule type="cellIs" dxfId="5995" priority="118" operator="equal">
      <formula>7</formula>
    </cfRule>
    <cfRule type="cellIs" dxfId="5994" priority="119" operator="equal">
      <formula>1</formula>
    </cfRule>
  </conditionalFormatting>
  <conditionalFormatting sqref="Q5:Q36">
    <cfRule type="cellIs" dxfId="5993" priority="94" operator="equal">
      <formula>"a"</formula>
    </cfRule>
    <cfRule type="cellIs" dxfId="5992" priority="95" operator="equal">
      <formula>"k"</formula>
    </cfRule>
    <cfRule type="cellIs" dxfId="5991" priority="96" operator="equal">
      <formula>"u"</formula>
    </cfRule>
    <cfRule type="cellIs" dxfId="5990" priority="97" operator="equal">
      <formula>"f"</formula>
    </cfRule>
    <cfRule type="cellIs" dxfId="5989" priority="98" operator="equal">
      <formula>9</formula>
    </cfRule>
    <cfRule type="cellIs" dxfId="5988" priority="99" operator="equal">
      <formula>8</formula>
    </cfRule>
    <cfRule type="cellIs" dxfId="5987" priority="100" operator="equal">
      <formula>5</formula>
    </cfRule>
    <cfRule type="cellIs" dxfId="5986" priority="101" operator="equal">
      <formula>3</formula>
    </cfRule>
    <cfRule type="cellIs" dxfId="5985" priority="102" operator="equal">
      <formula>6</formula>
    </cfRule>
    <cfRule type="cellIs" dxfId="5984" priority="103" operator="equal">
      <formula>4</formula>
    </cfRule>
    <cfRule type="cellIs" dxfId="5983" priority="104" operator="equal">
      <formula>2</formula>
    </cfRule>
    <cfRule type="cellIs" dxfId="5982" priority="105" operator="equal">
      <formula>7</formula>
    </cfRule>
    <cfRule type="cellIs" dxfId="5981" priority="106" operator="equal">
      <formula>1</formula>
    </cfRule>
  </conditionalFormatting>
  <conditionalFormatting sqref="T5:T36">
    <cfRule type="cellIs" dxfId="5980" priority="81" operator="equal">
      <formula>"a"</formula>
    </cfRule>
    <cfRule type="cellIs" dxfId="5979" priority="82" operator="equal">
      <formula>"k"</formula>
    </cfRule>
    <cfRule type="cellIs" dxfId="5978" priority="83" operator="equal">
      <formula>"u"</formula>
    </cfRule>
    <cfRule type="cellIs" dxfId="5977" priority="84" operator="equal">
      <formula>"f"</formula>
    </cfRule>
    <cfRule type="cellIs" dxfId="5976" priority="85" operator="equal">
      <formula>9</formula>
    </cfRule>
    <cfRule type="cellIs" dxfId="5975" priority="86" operator="equal">
      <formula>8</formula>
    </cfRule>
    <cfRule type="cellIs" dxfId="5974" priority="87" operator="equal">
      <formula>5</formula>
    </cfRule>
    <cfRule type="cellIs" dxfId="5973" priority="88" operator="equal">
      <formula>3</formula>
    </cfRule>
    <cfRule type="cellIs" dxfId="5972" priority="89" operator="equal">
      <formula>6</formula>
    </cfRule>
    <cfRule type="cellIs" dxfId="5971" priority="90" operator="equal">
      <formula>4</formula>
    </cfRule>
    <cfRule type="cellIs" dxfId="5970" priority="91" operator="equal">
      <formula>2</formula>
    </cfRule>
    <cfRule type="cellIs" dxfId="5969" priority="92" operator="equal">
      <formula>7</formula>
    </cfRule>
    <cfRule type="cellIs" dxfId="5968" priority="93" operator="equal">
      <formula>1</formula>
    </cfRule>
  </conditionalFormatting>
  <conditionalFormatting sqref="F5:F36">
    <cfRule type="expression" dxfId="5967" priority="68">
      <formula>COUNTIF(E5,"a")</formula>
    </cfRule>
    <cfRule type="expression" dxfId="5966" priority="69">
      <formula>COUNTIF(E5,"9")</formula>
    </cfRule>
    <cfRule type="expression" dxfId="5965" priority="70">
      <formula>COUNTIF(E5,"k")</formula>
    </cfRule>
    <cfRule type="expression" dxfId="5964" priority="71">
      <formula>COUNTIF(E5,"u")</formula>
    </cfRule>
    <cfRule type="expression" dxfId="5963" priority="72">
      <formula>COUNTIF(E5,"f")</formula>
    </cfRule>
    <cfRule type="expression" dxfId="5962" priority="73">
      <formula>COUNTIF(E5,"8")</formula>
    </cfRule>
    <cfRule type="expression" dxfId="5961" priority="74">
      <formula>COUNTIF(E5,"7")</formula>
    </cfRule>
    <cfRule type="expression" dxfId="5960" priority="75">
      <formula>COUNTIF(E5,"3")</formula>
    </cfRule>
    <cfRule type="expression" dxfId="5959" priority="77">
      <formula>COUNTIF(E5,"5")</formula>
    </cfRule>
    <cfRule type="expression" dxfId="5958" priority="78">
      <formula>COUNTIF(E5,"2")</formula>
    </cfRule>
    <cfRule type="expression" dxfId="5957" priority="79">
      <formula>COUNTIF(E5,"4")</formula>
    </cfRule>
    <cfRule type="expression" dxfId="5956" priority="80">
      <formula>COUNTIF(E5,"1")</formula>
    </cfRule>
  </conditionalFormatting>
  <conditionalFormatting sqref="F5:F36">
    <cfRule type="expression" dxfId="5955" priority="76">
      <formula>COUNTIF(E5,"6")</formula>
    </cfRule>
  </conditionalFormatting>
  <conditionalFormatting sqref="I5:I36">
    <cfRule type="expression" dxfId="5954" priority="55">
      <formula>COUNTIF(H5,"a")</formula>
    </cfRule>
    <cfRule type="expression" dxfId="5953" priority="56">
      <formula>COUNTIF(H5,"9")</formula>
    </cfRule>
    <cfRule type="expression" dxfId="5952" priority="57">
      <formula>COUNTIF(H5,"k")</formula>
    </cfRule>
    <cfRule type="expression" dxfId="5951" priority="58">
      <formula>COUNTIF(H5,"u")</formula>
    </cfRule>
    <cfRule type="expression" dxfId="5950" priority="59">
      <formula>COUNTIF(H5,"f")</formula>
    </cfRule>
    <cfRule type="expression" dxfId="5949" priority="60">
      <formula>COUNTIF(H5,"8")</formula>
    </cfRule>
    <cfRule type="expression" dxfId="5948" priority="61">
      <formula>COUNTIF(H5,"7")</formula>
    </cfRule>
    <cfRule type="expression" dxfId="5947" priority="62">
      <formula>COUNTIF(H5,"3")</formula>
    </cfRule>
    <cfRule type="expression" dxfId="5946" priority="64">
      <formula>COUNTIF(H5,"5")</formula>
    </cfRule>
    <cfRule type="expression" dxfId="5945" priority="65">
      <formula>COUNTIF(H5,"2")</formula>
    </cfRule>
    <cfRule type="expression" dxfId="5944" priority="66">
      <formula>COUNTIF(H5,"4")</formula>
    </cfRule>
    <cfRule type="expression" dxfId="5943" priority="67">
      <formula>COUNTIF(H5,"1")</formula>
    </cfRule>
  </conditionalFormatting>
  <conditionalFormatting sqref="I5:I36">
    <cfRule type="expression" dxfId="5942" priority="63">
      <formula>COUNTIF(H5,"6")</formula>
    </cfRule>
  </conditionalFormatting>
  <conditionalFormatting sqref="L5:L36">
    <cfRule type="expression" dxfId="5941" priority="42">
      <formula>COUNTIF(K5,"a")</formula>
    </cfRule>
    <cfRule type="expression" dxfId="5940" priority="43">
      <formula>COUNTIF(K5,"9")</formula>
    </cfRule>
    <cfRule type="expression" dxfId="5939" priority="44">
      <formula>COUNTIF(K5,"k")</formula>
    </cfRule>
    <cfRule type="expression" dxfId="5938" priority="45">
      <formula>COUNTIF(K5,"u")</formula>
    </cfRule>
    <cfRule type="expression" dxfId="5937" priority="46">
      <formula>COUNTIF(K5,"f")</formula>
    </cfRule>
    <cfRule type="expression" dxfId="5936" priority="47">
      <formula>COUNTIF(K5,"8")</formula>
    </cfRule>
    <cfRule type="expression" dxfId="5935" priority="48">
      <formula>COUNTIF(K5,"7")</formula>
    </cfRule>
    <cfRule type="expression" dxfId="5934" priority="49">
      <formula>COUNTIF(K5,"3")</formula>
    </cfRule>
    <cfRule type="expression" dxfId="5933" priority="51">
      <formula>COUNTIF(K5,"5")</formula>
    </cfRule>
    <cfRule type="expression" dxfId="5932" priority="52">
      <formula>COUNTIF(K5,"2")</formula>
    </cfRule>
    <cfRule type="expression" dxfId="5931" priority="53">
      <formula>COUNTIF(K5,"4")</formula>
    </cfRule>
    <cfRule type="expression" dxfId="5930" priority="54">
      <formula>COUNTIF(K5,"1")</formula>
    </cfRule>
  </conditionalFormatting>
  <conditionalFormatting sqref="L5:L36">
    <cfRule type="expression" dxfId="5929" priority="50">
      <formula>COUNTIF(K5,"6")</formula>
    </cfRule>
  </conditionalFormatting>
  <conditionalFormatting sqref="O5:O36">
    <cfRule type="expression" dxfId="5928" priority="29">
      <formula>COUNTIF(N5,"a")</formula>
    </cfRule>
    <cfRule type="expression" dxfId="5927" priority="30">
      <formula>COUNTIF(N5,"9")</formula>
    </cfRule>
    <cfRule type="expression" dxfId="5926" priority="31">
      <formula>COUNTIF(N5,"k")</formula>
    </cfRule>
    <cfRule type="expression" dxfId="5925" priority="32">
      <formula>COUNTIF(N5,"u")</formula>
    </cfRule>
    <cfRule type="expression" dxfId="5924" priority="33">
      <formula>COUNTIF(N5,"f")</formula>
    </cfRule>
    <cfRule type="expression" dxfId="5923" priority="34">
      <formula>COUNTIF(N5,"8")</formula>
    </cfRule>
    <cfRule type="expression" dxfId="5922" priority="35">
      <formula>COUNTIF(N5,"7")</formula>
    </cfRule>
    <cfRule type="expression" dxfId="5921" priority="36">
      <formula>COUNTIF(N5,"3")</formula>
    </cfRule>
    <cfRule type="expression" dxfId="5920" priority="38">
      <formula>COUNTIF(N5,"5")</formula>
    </cfRule>
    <cfRule type="expression" dxfId="5919" priority="39">
      <formula>COUNTIF(N5,"2")</formula>
    </cfRule>
    <cfRule type="expression" dxfId="5918" priority="40">
      <formula>COUNTIF(N5,"4")</formula>
    </cfRule>
    <cfRule type="expression" dxfId="5917" priority="41">
      <formula>COUNTIF(N5,"1")</formula>
    </cfRule>
  </conditionalFormatting>
  <conditionalFormatting sqref="O5:O36">
    <cfRule type="expression" dxfId="5916" priority="37">
      <formula>COUNTIF(N5,"6")</formula>
    </cfRule>
  </conditionalFormatting>
  <conditionalFormatting sqref="R5:R36">
    <cfRule type="expression" dxfId="5915" priority="16">
      <formula>COUNTIF(Q5,"a")</formula>
    </cfRule>
    <cfRule type="expression" dxfId="5914" priority="17">
      <formula>COUNTIF(Q5,"9")</formula>
    </cfRule>
    <cfRule type="expression" dxfId="5913" priority="18">
      <formula>COUNTIF(Q5,"k")</formula>
    </cfRule>
    <cfRule type="expression" dxfId="5912" priority="19">
      <formula>COUNTIF(Q5,"u")</formula>
    </cfRule>
    <cfRule type="expression" dxfId="5911" priority="20">
      <formula>COUNTIF(Q5,"f")</formula>
    </cfRule>
    <cfRule type="expression" dxfId="5910" priority="21">
      <formula>COUNTIF(Q5,"8")</formula>
    </cfRule>
    <cfRule type="expression" dxfId="5909" priority="22">
      <formula>COUNTIF(Q5,"7")</formula>
    </cfRule>
    <cfRule type="expression" dxfId="5908" priority="23">
      <formula>COUNTIF(Q5,"3")</formula>
    </cfRule>
    <cfRule type="expression" dxfId="5907" priority="25">
      <formula>COUNTIF(Q5,"5")</formula>
    </cfRule>
    <cfRule type="expression" dxfId="5906" priority="26">
      <formula>COUNTIF(Q5,"2")</formula>
    </cfRule>
    <cfRule type="expression" dxfId="5905" priority="27">
      <formula>COUNTIF(Q5,"4")</formula>
    </cfRule>
    <cfRule type="expression" dxfId="5904" priority="28">
      <formula>COUNTIF(Q5,"1")</formula>
    </cfRule>
  </conditionalFormatting>
  <conditionalFormatting sqref="R5:R36">
    <cfRule type="expression" dxfId="5903" priority="24">
      <formula>COUNTIF(Q5,"6")</formula>
    </cfRule>
  </conditionalFormatting>
  <conditionalFormatting sqref="U5:U36">
    <cfRule type="expression" dxfId="5902" priority="3">
      <formula>COUNTIF(T5,"a")</formula>
    </cfRule>
    <cfRule type="expression" dxfId="5901" priority="4">
      <formula>COUNTIF(T5,"9")</formula>
    </cfRule>
    <cfRule type="expression" dxfId="5900" priority="5">
      <formula>COUNTIF(T5,"k")</formula>
    </cfRule>
    <cfRule type="expression" dxfId="5899" priority="6">
      <formula>COUNTIF(T5,"u")</formula>
    </cfRule>
    <cfRule type="expression" dxfId="5898" priority="7">
      <formula>COUNTIF(T5,"f")</formula>
    </cfRule>
    <cfRule type="expression" dxfId="5897" priority="8">
      <formula>COUNTIF(T5,"8")</formula>
    </cfRule>
    <cfRule type="expression" dxfId="5896" priority="9">
      <formula>COUNTIF(T5,"7")</formula>
    </cfRule>
    <cfRule type="expression" dxfId="5895" priority="10">
      <formula>COUNTIF(T5,"3")</formula>
    </cfRule>
    <cfRule type="expression" dxfId="5894" priority="12">
      <formula>COUNTIF(T5,"5")</formula>
    </cfRule>
    <cfRule type="expression" dxfId="5893" priority="13">
      <formula>COUNTIF(T5,"2")</formula>
    </cfRule>
    <cfRule type="expression" dxfId="5892" priority="14">
      <formula>COUNTIF(T5,"4")</formula>
    </cfRule>
    <cfRule type="expression" dxfId="5891" priority="15">
      <formula>COUNTIF(T5,"1")</formula>
    </cfRule>
  </conditionalFormatting>
  <conditionalFormatting sqref="U5:U36">
    <cfRule type="expression" dxfId="5890" priority="11">
      <formula>COUNTIF(T5,"6")</formula>
    </cfRule>
  </conditionalFormatting>
  <conditionalFormatting sqref="V32">
    <cfRule type="cellIs" dxfId="5889" priority="1" operator="lessThan">
      <formula>0</formula>
    </cfRule>
    <cfRule type="cellIs" dxfId="588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B2A9766E-34C6-4F40-A71F-9A01EDE6AA6E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3DFA-486F-9E4A-8DF4-2F8716555499}">
  <sheetPr codeName="Tabelle6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22</v>
      </c>
      <c r="Q1" s="176"/>
      <c r="R1" s="79">
        <f>DATE(V1,1,7*P1-3-WEEKDAY(DATE(V1,,),3))</f>
        <v>45439</v>
      </c>
      <c r="S1" s="80" t="s">
        <v>1</v>
      </c>
      <c r="T1" s="177">
        <f>DATE(V1,1,7*P1+3-WEEKDAY(DATE(V1,,),3))</f>
        <v>45445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45439</v>
      </c>
      <c r="B2" s="178"/>
      <c r="C2" s="178"/>
      <c r="D2" s="178">
        <f>A2+1</f>
        <v>45440</v>
      </c>
      <c r="E2" s="179"/>
      <c r="F2" s="179"/>
      <c r="G2" s="178">
        <f>D2+1</f>
        <v>45441</v>
      </c>
      <c r="H2" s="179"/>
      <c r="I2" s="179"/>
      <c r="J2" s="178">
        <f>G2+1</f>
        <v>45442</v>
      </c>
      <c r="K2" s="179"/>
      <c r="L2" s="179"/>
      <c r="M2" s="178">
        <f>J2+1</f>
        <v>45443</v>
      </c>
      <c r="N2" s="179"/>
      <c r="O2" s="179"/>
      <c r="P2" s="178">
        <f>M2+1</f>
        <v>45444</v>
      </c>
      <c r="Q2" s="179"/>
      <c r="R2" s="179"/>
      <c r="S2" s="178">
        <f>P2+1</f>
        <v>45445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45439</v>
      </c>
      <c r="B3" s="168"/>
      <c r="C3" s="168"/>
      <c r="D3" s="168">
        <f>A3+1</f>
        <v>45440</v>
      </c>
      <c r="E3" s="168"/>
      <c r="F3" s="168"/>
      <c r="G3" s="168">
        <f>D3+1</f>
        <v>45441</v>
      </c>
      <c r="H3" s="168"/>
      <c r="I3" s="168"/>
      <c r="J3" s="168">
        <f>G3+1</f>
        <v>45442</v>
      </c>
      <c r="K3" s="168"/>
      <c r="L3" s="168"/>
      <c r="M3" s="168">
        <f>J3+1</f>
        <v>45443</v>
      </c>
      <c r="N3" s="168"/>
      <c r="O3" s="168"/>
      <c r="P3" s="168">
        <f>M3+1</f>
        <v>45444</v>
      </c>
      <c r="Q3" s="168"/>
      <c r="R3" s="168"/>
      <c r="S3" s="168">
        <f>P3+1</f>
        <v>45445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45439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45440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45441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45442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45443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45444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45445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21'!V32</f>
        <v>-840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-880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887" priority="159">
      <formula>COUNTIF(B5,"a")</formula>
    </cfRule>
    <cfRule type="expression" dxfId="5886" priority="161">
      <formula>COUNTIF(B5,"9")</formula>
    </cfRule>
    <cfRule type="expression" dxfId="5885" priority="163">
      <formula>COUNTIF(B5,"k")</formula>
    </cfRule>
    <cfRule type="expression" dxfId="5884" priority="164">
      <formula>COUNTIF(B5,"u")</formula>
    </cfRule>
    <cfRule type="expression" dxfId="5883" priority="167">
      <formula>COUNTIF(B5,"f")</formula>
    </cfRule>
    <cfRule type="expression" dxfId="5882" priority="168">
      <formula>COUNTIF(B5,"8")</formula>
    </cfRule>
    <cfRule type="expression" dxfId="5881" priority="169">
      <formula>COUNTIF(B5,"7")</formula>
    </cfRule>
    <cfRule type="expression" dxfId="5880" priority="170">
      <formula>COUNTIF(B5,"3")</formula>
    </cfRule>
    <cfRule type="expression" dxfId="5879" priority="181">
      <formula>COUNTIF(B5,"5")</formula>
    </cfRule>
    <cfRule type="expression" dxfId="5878" priority="182">
      <formula>COUNTIF(B5,"2")</formula>
    </cfRule>
    <cfRule type="expression" dxfId="5877" priority="183">
      <formula>COUNTIF(B5,"4")</formula>
    </cfRule>
    <cfRule type="expression" dxfId="5876" priority="184">
      <formula>COUNTIF(B5,"1")</formula>
    </cfRule>
  </conditionalFormatting>
  <conditionalFormatting sqref="B5:B36">
    <cfRule type="cellIs" dxfId="5875" priority="160" operator="equal">
      <formula>"a"</formula>
    </cfRule>
    <cfRule type="cellIs" dxfId="5874" priority="162" operator="equal">
      <formula>"k"</formula>
    </cfRule>
    <cfRule type="cellIs" dxfId="5873" priority="165" operator="equal">
      <formula>"u"</formula>
    </cfRule>
    <cfRule type="cellIs" dxfId="5872" priority="166" operator="equal">
      <formula>"f"</formula>
    </cfRule>
    <cfRule type="cellIs" dxfId="5871" priority="171" operator="equal">
      <formula>9</formula>
    </cfRule>
    <cfRule type="cellIs" dxfId="5870" priority="172" operator="equal">
      <formula>8</formula>
    </cfRule>
    <cfRule type="cellIs" dxfId="5869" priority="173" operator="equal">
      <formula>5</formula>
    </cfRule>
    <cfRule type="cellIs" dxfId="5868" priority="174" operator="equal">
      <formula>3</formula>
    </cfRule>
    <cfRule type="cellIs" dxfId="5867" priority="176" operator="equal">
      <formula>6</formula>
    </cfRule>
    <cfRule type="cellIs" dxfId="5866" priority="177" operator="equal">
      <formula>4</formula>
    </cfRule>
    <cfRule type="cellIs" dxfId="5865" priority="178" operator="equal">
      <formula>2</formula>
    </cfRule>
    <cfRule type="cellIs" dxfId="5864" priority="179" operator="equal">
      <formula>7</formula>
    </cfRule>
    <cfRule type="cellIs" dxfId="5863" priority="180" operator="equal">
      <formula>1</formula>
    </cfRule>
  </conditionalFormatting>
  <conditionalFormatting sqref="C5:C36">
    <cfRule type="expression" dxfId="5862" priority="175">
      <formula>COUNTIF(B5,"6")</formula>
    </cfRule>
  </conditionalFormatting>
  <conditionalFormatting sqref="E5:E36">
    <cfRule type="cellIs" dxfId="5861" priority="146" operator="equal">
      <formula>"a"</formula>
    </cfRule>
    <cfRule type="cellIs" dxfId="5860" priority="147" operator="equal">
      <formula>"k"</formula>
    </cfRule>
    <cfRule type="cellIs" dxfId="5859" priority="148" operator="equal">
      <formula>"u"</formula>
    </cfRule>
    <cfRule type="cellIs" dxfId="5858" priority="149" operator="equal">
      <formula>"f"</formula>
    </cfRule>
    <cfRule type="cellIs" dxfId="5857" priority="150" operator="equal">
      <formula>9</formula>
    </cfRule>
    <cfRule type="cellIs" dxfId="5856" priority="151" operator="equal">
      <formula>8</formula>
    </cfRule>
    <cfRule type="cellIs" dxfId="5855" priority="152" operator="equal">
      <formula>5</formula>
    </cfRule>
    <cfRule type="cellIs" dxfId="5854" priority="153" operator="equal">
      <formula>3</formula>
    </cfRule>
    <cfRule type="cellIs" dxfId="5853" priority="154" operator="equal">
      <formula>6</formula>
    </cfRule>
    <cfRule type="cellIs" dxfId="5852" priority="155" operator="equal">
      <formula>4</formula>
    </cfRule>
    <cfRule type="cellIs" dxfId="5851" priority="156" operator="equal">
      <formula>2</formula>
    </cfRule>
    <cfRule type="cellIs" dxfId="5850" priority="157" operator="equal">
      <formula>7</formula>
    </cfRule>
    <cfRule type="cellIs" dxfId="5849" priority="158" operator="equal">
      <formula>1</formula>
    </cfRule>
  </conditionalFormatting>
  <conditionalFormatting sqref="H5:H36">
    <cfRule type="cellIs" dxfId="5848" priority="133" operator="equal">
      <formula>"a"</formula>
    </cfRule>
    <cfRule type="cellIs" dxfId="5847" priority="134" operator="equal">
      <formula>"k"</formula>
    </cfRule>
    <cfRule type="cellIs" dxfId="5846" priority="135" operator="equal">
      <formula>"u"</formula>
    </cfRule>
    <cfRule type="cellIs" dxfId="5845" priority="136" operator="equal">
      <formula>"f"</formula>
    </cfRule>
    <cfRule type="cellIs" dxfId="5844" priority="137" operator="equal">
      <formula>9</formula>
    </cfRule>
    <cfRule type="cellIs" dxfId="5843" priority="138" operator="equal">
      <formula>8</formula>
    </cfRule>
    <cfRule type="cellIs" dxfId="5842" priority="139" operator="equal">
      <formula>5</formula>
    </cfRule>
    <cfRule type="cellIs" dxfId="5841" priority="140" operator="equal">
      <formula>3</formula>
    </cfRule>
    <cfRule type="cellIs" dxfId="5840" priority="141" operator="equal">
      <formula>6</formula>
    </cfRule>
    <cfRule type="cellIs" dxfId="5839" priority="142" operator="equal">
      <formula>4</formula>
    </cfRule>
    <cfRule type="cellIs" dxfId="5838" priority="143" operator="equal">
      <formula>2</formula>
    </cfRule>
    <cfRule type="cellIs" dxfId="5837" priority="144" operator="equal">
      <formula>7</formula>
    </cfRule>
    <cfRule type="cellIs" dxfId="5836" priority="145" operator="equal">
      <formula>1</formula>
    </cfRule>
  </conditionalFormatting>
  <conditionalFormatting sqref="K5:K36">
    <cfRule type="cellIs" dxfId="5835" priority="120" operator="equal">
      <formula>"a"</formula>
    </cfRule>
    <cfRule type="cellIs" dxfId="5834" priority="121" operator="equal">
      <formula>"k"</formula>
    </cfRule>
    <cfRule type="cellIs" dxfId="5833" priority="122" operator="equal">
      <formula>"u"</formula>
    </cfRule>
    <cfRule type="cellIs" dxfId="5832" priority="123" operator="equal">
      <formula>"f"</formula>
    </cfRule>
    <cfRule type="cellIs" dxfId="5831" priority="124" operator="equal">
      <formula>9</formula>
    </cfRule>
    <cfRule type="cellIs" dxfId="5830" priority="125" operator="equal">
      <formula>8</formula>
    </cfRule>
    <cfRule type="cellIs" dxfId="5829" priority="126" operator="equal">
      <formula>5</formula>
    </cfRule>
    <cfRule type="cellIs" dxfId="5828" priority="127" operator="equal">
      <formula>3</formula>
    </cfRule>
    <cfRule type="cellIs" dxfId="5827" priority="128" operator="equal">
      <formula>6</formula>
    </cfRule>
    <cfRule type="cellIs" dxfId="5826" priority="129" operator="equal">
      <formula>4</formula>
    </cfRule>
    <cfRule type="cellIs" dxfId="5825" priority="130" operator="equal">
      <formula>2</formula>
    </cfRule>
    <cfRule type="cellIs" dxfId="5824" priority="131" operator="equal">
      <formula>7</formula>
    </cfRule>
    <cfRule type="cellIs" dxfId="5823" priority="132" operator="equal">
      <formula>1</formula>
    </cfRule>
  </conditionalFormatting>
  <conditionalFormatting sqref="N5:N36">
    <cfRule type="cellIs" dxfId="5822" priority="107" operator="equal">
      <formula>"a"</formula>
    </cfRule>
    <cfRule type="cellIs" dxfId="5821" priority="108" operator="equal">
      <formula>"k"</formula>
    </cfRule>
    <cfRule type="cellIs" dxfId="5820" priority="109" operator="equal">
      <formula>"u"</formula>
    </cfRule>
    <cfRule type="cellIs" dxfId="5819" priority="110" operator="equal">
      <formula>"f"</formula>
    </cfRule>
    <cfRule type="cellIs" dxfId="5818" priority="111" operator="equal">
      <formula>9</formula>
    </cfRule>
    <cfRule type="cellIs" dxfId="5817" priority="112" operator="equal">
      <formula>8</formula>
    </cfRule>
    <cfRule type="cellIs" dxfId="5816" priority="113" operator="equal">
      <formula>5</formula>
    </cfRule>
    <cfRule type="cellIs" dxfId="5815" priority="114" operator="equal">
      <formula>3</formula>
    </cfRule>
    <cfRule type="cellIs" dxfId="5814" priority="115" operator="equal">
      <formula>6</formula>
    </cfRule>
    <cfRule type="cellIs" dxfId="5813" priority="116" operator="equal">
      <formula>4</formula>
    </cfRule>
    <cfRule type="cellIs" dxfId="5812" priority="117" operator="equal">
      <formula>2</formula>
    </cfRule>
    <cfRule type="cellIs" dxfId="5811" priority="118" operator="equal">
      <formula>7</formula>
    </cfRule>
    <cfRule type="cellIs" dxfId="5810" priority="119" operator="equal">
      <formula>1</formula>
    </cfRule>
  </conditionalFormatting>
  <conditionalFormatting sqref="Q5:Q36">
    <cfRule type="cellIs" dxfId="5809" priority="94" operator="equal">
      <formula>"a"</formula>
    </cfRule>
    <cfRule type="cellIs" dxfId="5808" priority="95" operator="equal">
      <formula>"k"</formula>
    </cfRule>
    <cfRule type="cellIs" dxfId="5807" priority="96" operator="equal">
      <formula>"u"</formula>
    </cfRule>
    <cfRule type="cellIs" dxfId="5806" priority="97" operator="equal">
      <formula>"f"</formula>
    </cfRule>
    <cfRule type="cellIs" dxfId="5805" priority="98" operator="equal">
      <formula>9</formula>
    </cfRule>
    <cfRule type="cellIs" dxfId="5804" priority="99" operator="equal">
      <formula>8</formula>
    </cfRule>
    <cfRule type="cellIs" dxfId="5803" priority="100" operator="equal">
      <formula>5</formula>
    </cfRule>
    <cfRule type="cellIs" dxfId="5802" priority="101" operator="equal">
      <formula>3</formula>
    </cfRule>
    <cfRule type="cellIs" dxfId="5801" priority="102" operator="equal">
      <formula>6</formula>
    </cfRule>
    <cfRule type="cellIs" dxfId="5800" priority="103" operator="equal">
      <formula>4</formula>
    </cfRule>
    <cfRule type="cellIs" dxfId="5799" priority="104" operator="equal">
      <formula>2</formula>
    </cfRule>
    <cfRule type="cellIs" dxfId="5798" priority="105" operator="equal">
      <formula>7</formula>
    </cfRule>
    <cfRule type="cellIs" dxfId="5797" priority="106" operator="equal">
      <formula>1</formula>
    </cfRule>
  </conditionalFormatting>
  <conditionalFormatting sqref="T5:T36">
    <cfRule type="cellIs" dxfId="5796" priority="81" operator="equal">
      <formula>"a"</formula>
    </cfRule>
    <cfRule type="cellIs" dxfId="5795" priority="82" operator="equal">
      <formula>"k"</formula>
    </cfRule>
    <cfRule type="cellIs" dxfId="5794" priority="83" operator="equal">
      <formula>"u"</formula>
    </cfRule>
    <cfRule type="cellIs" dxfId="5793" priority="84" operator="equal">
      <formula>"f"</formula>
    </cfRule>
    <cfRule type="cellIs" dxfId="5792" priority="85" operator="equal">
      <formula>9</formula>
    </cfRule>
    <cfRule type="cellIs" dxfId="5791" priority="86" operator="equal">
      <formula>8</formula>
    </cfRule>
    <cfRule type="cellIs" dxfId="5790" priority="87" operator="equal">
      <formula>5</formula>
    </cfRule>
    <cfRule type="cellIs" dxfId="5789" priority="88" operator="equal">
      <formula>3</formula>
    </cfRule>
    <cfRule type="cellIs" dxfId="5788" priority="89" operator="equal">
      <formula>6</formula>
    </cfRule>
    <cfRule type="cellIs" dxfId="5787" priority="90" operator="equal">
      <formula>4</formula>
    </cfRule>
    <cfRule type="cellIs" dxfId="5786" priority="91" operator="equal">
      <formula>2</formula>
    </cfRule>
    <cfRule type="cellIs" dxfId="5785" priority="92" operator="equal">
      <formula>7</formula>
    </cfRule>
    <cfRule type="cellIs" dxfId="5784" priority="93" operator="equal">
      <formula>1</formula>
    </cfRule>
  </conditionalFormatting>
  <conditionalFormatting sqref="F5:F36">
    <cfRule type="expression" dxfId="5783" priority="68">
      <formula>COUNTIF(E5,"a")</formula>
    </cfRule>
    <cfRule type="expression" dxfId="5782" priority="69">
      <formula>COUNTIF(E5,"9")</formula>
    </cfRule>
    <cfRule type="expression" dxfId="5781" priority="70">
      <formula>COUNTIF(E5,"k")</formula>
    </cfRule>
    <cfRule type="expression" dxfId="5780" priority="71">
      <formula>COUNTIF(E5,"u")</formula>
    </cfRule>
    <cfRule type="expression" dxfId="5779" priority="72">
      <formula>COUNTIF(E5,"f")</formula>
    </cfRule>
    <cfRule type="expression" dxfId="5778" priority="73">
      <formula>COUNTIF(E5,"8")</formula>
    </cfRule>
    <cfRule type="expression" dxfId="5777" priority="74">
      <formula>COUNTIF(E5,"7")</formula>
    </cfRule>
    <cfRule type="expression" dxfId="5776" priority="75">
      <formula>COUNTIF(E5,"3")</formula>
    </cfRule>
    <cfRule type="expression" dxfId="5775" priority="77">
      <formula>COUNTIF(E5,"5")</formula>
    </cfRule>
    <cfRule type="expression" dxfId="5774" priority="78">
      <formula>COUNTIF(E5,"2")</formula>
    </cfRule>
    <cfRule type="expression" dxfId="5773" priority="79">
      <formula>COUNTIF(E5,"4")</formula>
    </cfRule>
    <cfRule type="expression" dxfId="5772" priority="80">
      <formula>COUNTIF(E5,"1")</formula>
    </cfRule>
  </conditionalFormatting>
  <conditionalFormatting sqref="F5:F36">
    <cfRule type="expression" dxfId="5771" priority="76">
      <formula>COUNTIF(E5,"6")</formula>
    </cfRule>
  </conditionalFormatting>
  <conditionalFormatting sqref="I5:I36">
    <cfRule type="expression" dxfId="5770" priority="55">
      <formula>COUNTIF(H5,"a")</formula>
    </cfRule>
    <cfRule type="expression" dxfId="5769" priority="56">
      <formula>COUNTIF(H5,"9")</formula>
    </cfRule>
    <cfRule type="expression" dxfId="5768" priority="57">
      <formula>COUNTIF(H5,"k")</formula>
    </cfRule>
    <cfRule type="expression" dxfId="5767" priority="58">
      <formula>COUNTIF(H5,"u")</formula>
    </cfRule>
    <cfRule type="expression" dxfId="5766" priority="59">
      <formula>COUNTIF(H5,"f")</formula>
    </cfRule>
    <cfRule type="expression" dxfId="5765" priority="60">
      <formula>COUNTIF(H5,"8")</formula>
    </cfRule>
    <cfRule type="expression" dxfId="5764" priority="61">
      <formula>COUNTIF(H5,"7")</formula>
    </cfRule>
    <cfRule type="expression" dxfId="5763" priority="62">
      <formula>COUNTIF(H5,"3")</formula>
    </cfRule>
    <cfRule type="expression" dxfId="5762" priority="64">
      <formula>COUNTIF(H5,"5")</formula>
    </cfRule>
    <cfRule type="expression" dxfId="5761" priority="65">
      <formula>COUNTIF(H5,"2")</formula>
    </cfRule>
    <cfRule type="expression" dxfId="5760" priority="66">
      <formula>COUNTIF(H5,"4")</formula>
    </cfRule>
    <cfRule type="expression" dxfId="5759" priority="67">
      <formula>COUNTIF(H5,"1")</formula>
    </cfRule>
  </conditionalFormatting>
  <conditionalFormatting sqref="I5:I36">
    <cfRule type="expression" dxfId="5758" priority="63">
      <formula>COUNTIF(H5,"6")</formula>
    </cfRule>
  </conditionalFormatting>
  <conditionalFormatting sqref="L5:L36">
    <cfRule type="expression" dxfId="5757" priority="42">
      <formula>COUNTIF(K5,"a")</formula>
    </cfRule>
    <cfRule type="expression" dxfId="5756" priority="43">
      <formula>COUNTIF(K5,"9")</formula>
    </cfRule>
    <cfRule type="expression" dxfId="5755" priority="44">
      <formula>COUNTIF(K5,"k")</formula>
    </cfRule>
    <cfRule type="expression" dxfId="5754" priority="45">
      <formula>COUNTIF(K5,"u")</formula>
    </cfRule>
    <cfRule type="expression" dxfId="5753" priority="46">
      <formula>COUNTIF(K5,"f")</formula>
    </cfRule>
    <cfRule type="expression" dxfId="5752" priority="47">
      <formula>COUNTIF(K5,"8")</formula>
    </cfRule>
    <cfRule type="expression" dxfId="5751" priority="48">
      <formula>COUNTIF(K5,"7")</formula>
    </cfRule>
    <cfRule type="expression" dxfId="5750" priority="49">
      <formula>COUNTIF(K5,"3")</formula>
    </cfRule>
    <cfRule type="expression" dxfId="5749" priority="51">
      <formula>COUNTIF(K5,"5")</formula>
    </cfRule>
    <cfRule type="expression" dxfId="5748" priority="52">
      <formula>COUNTIF(K5,"2")</formula>
    </cfRule>
    <cfRule type="expression" dxfId="5747" priority="53">
      <formula>COUNTIF(K5,"4")</formula>
    </cfRule>
    <cfRule type="expression" dxfId="5746" priority="54">
      <formula>COUNTIF(K5,"1")</formula>
    </cfRule>
  </conditionalFormatting>
  <conditionalFormatting sqref="L5:L36">
    <cfRule type="expression" dxfId="5745" priority="50">
      <formula>COUNTIF(K5,"6")</formula>
    </cfRule>
  </conditionalFormatting>
  <conditionalFormatting sqref="O5:O36">
    <cfRule type="expression" dxfId="5744" priority="29">
      <formula>COUNTIF(N5,"a")</formula>
    </cfRule>
    <cfRule type="expression" dxfId="5743" priority="30">
      <formula>COUNTIF(N5,"9")</formula>
    </cfRule>
    <cfRule type="expression" dxfId="5742" priority="31">
      <formula>COUNTIF(N5,"k")</formula>
    </cfRule>
    <cfRule type="expression" dxfId="5741" priority="32">
      <formula>COUNTIF(N5,"u")</formula>
    </cfRule>
    <cfRule type="expression" dxfId="5740" priority="33">
      <formula>COUNTIF(N5,"f")</formula>
    </cfRule>
    <cfRule type="expression" dxfId="5739" priority="34">
      <formula>COUNTIF(N5,"8")</formula>
    </cfRule>
    <cfRule type="expression" dxfId="5738" priority="35">
      <formula>COUNTIF(N5,"7")</formula>
    </cfRule>
    <cfRule type="expression" dxfId="5737" priority="36">
      <formula>COUNTIF(N5,"3")</formula>
    </cfRule>
    <cfRule type="expression" dxfId="5736" priority="38">
      <formula>COUNTIF(N5,"5")</formula>
    </cfRule>
    <cfRule type="expression" dxfId="5735" priority="39">
      <formula>COUNTIF(N5,"2")</formula>
    </cfRule>
    <cfRule type="expression" dxfId="5734" priority="40">
      <formula>COUNTIF(N5,"4")</formula>
    </cfRule>
    <cfRule type="expression" dxfId="5733" priority="41">
      <formula>COUNTIF(N5,"1")</formula>
    </cfRule>
  </conditionalFormatting>
  <conditionalFormatting sqref="O5:O36">
    <cfRule type="expression" dxfId="5732" priority="37">
      <formula>COUNTIF(N5,"6")</formula>
    </cfRule>
  </conditionalFormatting>
  <conditionalFormatting sqref="R5:R36">
    <cfRule type="expression" dxfId="5731" priority="16">
      <formula>COUNTIF(Q5,"a")</formula>
    </cfRule>
    <cfRule type="expression" dxfId="5730" priority="17">
      <formula>COUNTIF(Q5,"9")</formula>
    </cfRule>
    <cfRule type="expression" dxfId="5729" priority="18">
      <formula>COUNTIF(Q5,"k")</formula>
    </cfRule>
    <cfRule type="expression" dxfId="5728" priority="19">
      <formula>COUNTIF(Q5,"u")</formula>
    </cfRule>
    <cfRule type="expression" dxfId="5727" priority="20">
      <formula>COUNTIF(Q5,"f")</formula>
    </cfRule>
    <cfRule type="expression" dxfId="5726" priority="21">
      <formula>COUNTIF(Q5,"8")</formula>
    </cfRule>
    <cfRule type="expression" dxfId="5725" priority="22">
      <formula>COUNTIF(Q5,"7")</formula>
    </cfRule>
    <cfRule type="expression" dxfId="5724" priority="23">
      <formula>COUNTIF(Q5,"3")</formula>
    </cfRule>
    <cfRule type="expression" dxfId="5723" priority="25">
      <formula>COUNTIF(Q5,"5")</formula>
    </cfRule>
    <cfRule type="expression" dxfId="5722" priority="26">
      <formula>COUNTIF(Q5,"2")</formula>
    </cfRule>
    <cfRule type="expression" dxfId="5721" priority="27">
      <formula>COUNTIF(Q5,"4")</formula>
    </cfRule>
    <cfRule type="expression" dxfId="5720" priority="28">
      <formula>COUNTIF(Q5,"1")</formula>
    </cfRule>
  </conditionalFormatting>
  <conditionalFormatting sqref="R5:R36">
    <cfRule type="expression" dxfId="5719" priority="24">
      <formula>COUNTIF(Q5,"6")</formula>
    </cfRule>
  </conditionalFormatting>
  <conditionalFormatting sqref="U5:U36">
    <cfRule type="expression" dxfId="5718" priority="3">
      <formula>COUNTIF(T5,"a")</formula>
    </cfRule>
    <cfRule type="expression" dxfId="5717" priority="4">
      <formula>COUNTIF(T5,"9")</formula>
    </cfRule>
    <cfRule type="expression" dxfId="5716" priority="5">
      <formula>COUNTIF(T5,"k")</formula>
    </cfRule>
    <cfRule type="expression" dxfId="5715" priority="6">
      <formula>COUNTIF(T5,"u")</formula>
    </cfRule>
    <cfRule type="expression" dxfId="5714" priority="7">
      <formula>COUNTIF(T5,"f")</formula>
    </cfRule>
    <cfRule type="expression" dxfId="5713" priority="8">
      <formula>COUNTIF(T5,"8")</formula>
    </cfRule>
    <cfRule type="expression" dxfId="5712" priority="9">
      <formula>COUNTIF(T5,"7")</formula>
    </cfRule>
    <cfRule type="expression" dxfId="5711" priority="10">
      <formula>COUNTIF(T5,"3")</formula>
    </cfRule>
    <cfRule type="expression" dxfId="5710" priority="12">
      <formula>COUNTIF(T5,"5")</formula>
    </cfRule>
    <cfRule type="expression" dxfId="5709" priority="13">
      <formula>COUNTIF(T5,"2")</formula>
    </cfRule>
    <cfRule type="expression" dxfId="5708" priority="14">
      <formula>COUNTIF(T5,"4")</formula>
    </cfRule>
    <cfRule type="expression" dxfId="5707" priority="15">
      <formula>COUNTIF(T5,"1")</formula>
    </cfRule>
  </conditionalFormatting>
  <conditionalFormatting sqref="U5:U36">
    <cfRule type="expression" dxfId="5706" priority="11">
      <formula>COUNTIF(T5,"6")</formula>
    </cfRule>
  </conditionalFormatting>
  <conditionalFormatting sqref="V32">
    <cfRule type="cellIs" dxfId="5705" priority="1" operator="lessThan">
      <formula>0</formula>
    </cfRule>
    <cfRule type="cellIs" dxfId="570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0FDF5AE1-DA9A-684E-BB21-8C9CB86582C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D1BC-2692-6A44-9ECB-989E48053C1E}">
  <sheetPr codeName="Tabelle6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23</v>
      </c>
      <c r="Q1" s="176"/>
      <c r="R1" s="79">
        <f>DATE(V1,1,7*P1-3-WEEKDAY(DATE(V1,,),3))</f>
        <v>45446</v>
      </c>
      <c r="S1" s="80" t="s">
        <v>1</v>
      </c>
      <c r="T1" s="177">
        <f>DATE(V1,1,7*P1+3-WEEKDAY(DATE(V1,,),3))</f>
        <v>45452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45446</v>
      </c>
      <c r="B2" s="178"/>
      <c r="C2" s="178"/>
      <c r="D2" s="178">
        <f>A2+1</f>
        <v>45447</v>
      </c>
      <c r="E2" s="179"/>
      <c r="F2" s="179"/>
      <c r="G2" s="178">
        <f>D2+1</f>
        <v>45448</v>
      </c>
      <c r="H2" s="179"/>
      <c r="I2" s="179"/>
      <c r="J2" s="178">
        <f>G2+1</f>
        <v>45449</v>
      </c>
      <c r="K2" s="179"/>
      <c r="L2" s="179"/>
      <c r="M2" s="178">
        <f>J2+1</f>
        <v>45450</v>
      </c>
      <c r="N2" s="179"/>
      <c r="O2" s="179"/>
      <c r="P2" s="178">
        <f>M2+1</f>
        <v>45451</v>
      </c>
      <c r="Q2" s="179"/>
      <c r="R2" s="179"/>
      <c r="S2" s="178">
        <f>P2+1</f>
        <v>45452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45446</v>
      </c>
      <c r="B3" s="168"/>
      <c r="C3" s="168"/>
      <c r="D3" s="168">
        <f>A3+1</f>
        <v>45447</v>
      </c>
      <c r="E3" s="168"/>
      <c r="F3" s="168"/>
      <c r="G3" s="168">
        <f>D3+1</f>
        <v>45448</v>
      </c>
      <c r="H3" s="168"/>
      <c r="I3" s="168"/>
      <c r="J3" s="168">
        <f>G3+1</f>
        <v>45449</v>
      </c>
      <c r="K3" s="168"/>
      <c r="L3" s="168"/>
      <c r="M3" s="168">
        <f>J3+1</f>
        <v>45450</v>
      </c>
      <c r="N3" s="168"/>
      <c r="O3" s="168"/>
      <c r="P3" s="168">
        <f>M3+1</f>
        <v>45451</v>
      </c>
      <c r="Q3" s="168"/>
      <c r="R3" s="168"/>
      <c r="S3" s="168">
        <f>P3+1</f>
        <v>45452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45446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45447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45448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45449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45450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45451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45452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22'!V32</f>
        <v>-880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-920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703" priority="159">
      <formula>COUNTIF(B5,"a")</formula>
    </cfRule>
    <cfRule type="expression" dxfId="5702" priority="161">
      <formula>COUNTIF(B5,"9")</formula>
    </cfRule>
    <cfRule type="expression" dxfId="5701" priority="163">
      <formula>COUNTIF(B5,"k")</formula>
    </cfRule>
    <cfRule type="expression" dxfId="5700" priority="164">
      <formula>COUNTIF(B5,"u")</formula>
    </cfRule>
    <cfRule type="expression" dxfId="5699" priority="167">
      <formula>COUNTIF(B5,"f")</formula>
    </cfRule>
    <cfRule type="expression" dxfId="5698" priority="168">
      <formula>COUNTIF(B5,"8")</formula>
    </cfRule>
    <cfRule type="expression" dxfId="5697" priority="169">
      <formula>COUNTIF(B5,"7")</formula>
    </cfRule>
    <cfRule type="expression" dxfId="5696" priority="170">
      <formula>COUNTIF(B5,"3")</formula>
    </cfRule>
    <cfRule type="expression" dxfId="5695" priority="181">
      <formula>COUNTIF(B5,"5")</formula>
    </cfRule>
    <cfRule type="expression" dxfId="5694" priority="182">
      <formula>COUNTIF(B5,"2")</formula>
    </cfRule>
    <cfRule type="expression" dxfId="5693" priority="183">
      <formula>COUNTIF(B5,"4")</formula>
    </cfRule>
    <cfRule type="expression" dxfId="5692" priority="184">
      <formula>COUNTIF(B5,"1")</formula>
    </cfRule>
  </conditionalFormatting>
  <conditionalFormatting sqref="B5:B36">
    <cfRule type="cellIs" dxfId="5691" priority="160" operator="equal">
      <formula>"a"</formula>
    </cfRule>
    <cfRule type="cellIs" dxfId="5690" priority="162" operator="equal">
      <formula>"k"</formula>
    </cfRule>
    <cfRule type="cellIs" dxfId="5689" priority="165" operator="equal">
      <formula>"u"</formula>
    </cfRule>
    <cfRule type="cellIs" dxfId="5688" priority="166" operator="equal">
      <formula>"f"</formula>
    </cfRule>
    <cfRule type="cellIs" dxfId="5687" priority="171" operator="equal">
      <formula>9</formula>
    </cfRule>
    <cfRule type="cellIs" dxfId="5686" priority="172" operator="equal">
      <formula>8</formula>
    </cfRule>
    <cfRule type="cellIs" dxfId="5685" priority="173" operator="equal">
      <formula>5</formula>
    </cfRule>
    <cfRule type="cellIs" dxfId="5684" priority="174" operator="equal">
      <formula>3</formula>
    </cfRule>
    <cfRule type="cellIs" dxfId="5683" priority="176" operator="equal">
      <formula>6</formula>
    </cfRule>
    <cfRule type="cellIs" dxfId="5682" priority="177" operator="equal">
      <formula>4</formula>
    </cfRule>
    <cfRule type="cellIs" dxfId="5681" priority="178" operator="equal">
      <formula>2</formula>
    </cfRule>
    <cfRule type="cellIs" dxfId="5680" priority="179" operator="equal">
      <formula>7</formula>
    </cfRule>
    <cfRule type="cellIs" dxfId="5679" priority="180" operator="equal">
      <formula>1</formula>
    </cfRule>
  </conditionalFormatting>
  <conditionalFormatting sqref="C5:C36">
    <cfRule type="expression" dxfId="5678" priority="175">
      <formula>COUNTIF(B5,"6")</formula>
    </cfRule>
  </conditionalFormatting>
  <conditionalFormatting sqref="E5:E36">
    <cfRule type="cellIs" dxfId="5677" priority="146" operator="equal">
      <formula>"a"</formula>
    </cfRule>
    <cfRule type="cellIs" dxfId="5676" priority="147" operator="equal">
      <formula>"k"</formula>
    </cfRule>
    <cfRule type="cellIs" dxfId="5675" priority="148" operator="equal">
      <formula>"u"</formula>
    </cfRule>
    <cfRule type="cellIs" dxfId="5674" priority="149" operator="equal">
      <formula>"f"</formula>
    </cfRule>
    <cfRule type="cellIs" dxfId="5673" priority="150" operator="equal">
      <formula>9</formula>
    </cfRule>
    <cfRule type="cellIs" dxfId="5672" priority="151" operator="equal">
      <formula>8</formula>
    </cfRule>
    <cfRule type="cellIs" dxfId="5671" priority="152" operator="equal">
      <formula>5</formula>
    </cfRule>
    <cfRule type="cellIs" dxfId="5670" priority="153" operator="equal">
      <formula>3</formula>
    </cfRule>
    <cfRule type="cellIs" dxfId="5669" priority="154" operator="equal">
      <formula>6</formula>
    </cfRule>
    <cfRule type="cellIs" dxfId="5668" priority="155" operator="equal">
      <formula>4</formula>
    </cfRule>
    <cfRule type="cellIs" dxfId="5667" priority="156" operator="equal">
      <formula>2</formula>
    </cfRule>
    <cfRule type="cellIs" dxfId="5666" priority="157" operator="equal">
      <formula>7</formula>
    </cfRule>
    <cfRule type="cellIs" dxfId="5665" priority="158" operator="equal">
      <formula>1</formula>
    </cfRule>
  </conditionalFormatting>
  <conditionalFormatting sqref="H5:H36">
    <cfRule type="cellIs" dxfId="5664" priority="133" operator="equal">
      <formula>"a"</formula>
    </cfRule>
    <cfRule type="cellIs" dxfId="5663" priority="134" operator="equal">
      <formula>"k"</formula>
    </cfRule>
    <cfRule type="cellIs" dxfId="5662" priority="135" operator="equal">
      <formula>"u"</formula>
    </cfRule>
    <cfRule type="cellIs" dxfId="5661" priority="136" operator="equal">
      <formula>"f"</formula>
    </cfRule>
    <cfRule type="cellIs" dxfId="5660" priority="137" operator="equal">
      <formula>9</formula>
    </cfRule>
    <cfRule type="cellIs" dxfId="5659" priority="138" operator="equal">
      <formula>8</formula>
    </cfRule>
    <cfRule type="cellIs" dxfId="5658" priority="139" operator="equal">
      <formula>5</formula>
    </cfRule>
    <cfRule type="cellIs" dxfId="5657" priority="140" operator="equal">
      <formula>3</formula>
    </cfRule>
    <cfRule type="cellIs" dxfId="5656" priority="141" operator="equal">
      <formula>6</formula>
    </cfRule>
    <cfRule type="cellIs" dxfId="5655" priority="142" operator="equal">
      <formula>4</formula>
    </cfRule>
    <cfRule type="cellIs" dxfId="5654" priority="143" operator="equal">
      <formula>2</formula>
    </cfRule>
    <cfRule type="cellIs" dxfId="5653" priority="144" operator="equal">
      <formula>7</formula>
    </cfRule>
    <cfRule type="cellIs" dxfId="5652" priority="145" operator="equal">
      <formula>1</formula>
    </cfRule>
  </conditionalFormatting>
  <conditionalFormatting sqref="K5:K36">
    <cfRule type="cellIs" dxfId="5651" priority="120" operator="equal">
      <formula>"a"</formula>
    </cfRule>
    <cfRule type="cellIs" dxfId="5650" priority="121" operator="equal">
      <formula>"k"</formula>
    </cfRule>
    <cfRule type="cellIs" dxfId="5649" priority="122" operator="equal">
      <formula>"u"</formula>
    </cfRule>
    <cfRule type="cellIs" dxfId="5648" priority="123" operator="equal">
      <formula>"f"</formula>
    </cfRule>
    <cfRule type="cellIs" dxfId="5647" priority="124" operator="equal">
      <formula>9</formula>
    </cfRule>
    <cfRule type="cellIs" dxfId="5646" priority="125" operator="equal">
      <formula>8</formula>
    </cfRule>
    <cfRule type="cellIs" dxfId="5645" priority="126" operator="equal">
      <formula>5</formula>
    </cfRule>
    <cfRule type="cellIs" dxfId="5644" priority="127" operator="equal">
      <formula>3</formula>
    </cfRule>
    <cfRule type="cellIs" dxfId="5643" priority="128" operator="equal">
      <formula>6</formula>
    </cfRule>
    <cfRule type="cellIs" dxfId="5642" priority="129" operator="equal">
      <formula>4</formula>
    </cfRule>
    <cfRule type="cellIs" dxfId="5641" priority="130" operator="equal">
      <formula>2</formula>
    </cfRule>
    <cfRule type="cellIs" dxfId="5640" priority="131" operator="equal">
      <formula>7</formula>
    </cfRule>
    <cfRule type="cellIs" dxfId="5639" priority="132" operator="equal">
      <formula>1</formula>
    </cfRule>
  </conditionalFormatting>
  <conditionalFormatting sqref="N5:N36">
    <cfRule type="cellIs" dxfId="5638" priority="107" operator="equal">
      <formula>"a"</formula>
    </cfRule>
    <cfRule type="cellIs" dxfId="5637" priority="108" operator="equal">
      <formula>"k"</formula>
    </cfRule>
    <cfRule type="cellIs" dxfId="5636" priority="109" operator="equal">
      <formula>"u"</formula>
    </cfRule>
    <cfRule type="cellIs" dxfId="5635" priority="110" operator="equal">
      <formula>"f"</formula>
    </cfRule>
    <cfRule type="cellIs" dxfId="5634" priority="111" operator="equal">
      <formula>9</formula>
    </cfRule>
    <cfRule type="cellIs" dxfId="5633" priority="112" operator="equal">
      <formula>8</formula>
    </cfRule>
    <cfRule type="cellIs" dxfId="5632" priority="113" operator="equal">
      <formula>5</formula>
    </cfRule>
    <cfRule type="cellIs" dxfId="5631" priority="114" operator="equal">
      <formula>3</formula>
    </cfRule>
    <cfRule type="cellIs" dxfId="5630" priority="115" operator="equal">
      <formula>6</formula>
    </cfRule>
    <cfRule type="cellIs" dxfId="5629" priority="116" operator="equal">
      <formula>4</formula>
    </cfRule>
    <cfRule type="cellIs" dxfId="5628" priority="117" operator="equal">
      <formula>2</formula>
    </cfRule>
    <cfRule type="cellIs" dxfId="5627" priority="118" operator="equal">
      <formula>7</formula>
    </cfRule>
    <cfRule type="cellIs" dxfId="5626" priority="119" operator="equal">
      <formula>1</formula>
    </cfRule>
  </conditionalFormatting>
  <conditionalFormatting sqref="Q5:Q36">
    <cfRule type="cellIs" dxfId="5625" priority="94" operator="equal">
      <formula>"a"</formula>
    </cfRule>
    <cfRule type="cellIs" dxfId="5624" priority="95" operator="equal">
      <formula>"k"</formula>
    </cfRule>
    <cfRule type="cellIs" dxfId="5623" priority="96" operator="equal">
      <formula>"u"</formula>
    </cfRule>
    <cfRule type="cellIs" dxfId="5622" priority="97" operator="equal">
      <formula>"f"</formula>
    </cfRule>
    <cfRule type="cellIs" dxfId="5621" priority="98" operator="equal">
      <formula>9</formula>
    </cfRule>
    <cfRule type="cellIs" dxfId="5620" priority="99" operator="equal">
      <formula>8</formula>
    </cfRule>
    <cfRule type="cellIs" dxfId="5619" priority="100" operator="equal">
      <formula>5</formula>
    </cfRule>
    <cfRule type="cellIs" dxfId="5618" priority="101" operator="equal">
      <formula>3</formula>
    </cfRule>
    <cfRule type="cellIs" dxfId="5617" priority="102" operator="equal">
      <formula>6</formula>
    </cfRule>
    <cfRule type="cellIs" dxfId="5616" priority="103" operator="equal">
      <formula>4</formula>
    </cfRule>
    <cfRule type="cellIs" dxfId="5615" priority="104" operator="equal">
      <formula>2</formula>
    </cfRule>
    <cfRule type="cellIs" dxfId="5614" priority="105" operator="equal">
      <formula>7</formula>
    </cfRule>
    <cfRule type="cellIs" dxfId="5613" priority="106" operator="equal">
      <formula>1</formula>
    </cfRule>
  </conditionalFormatting>
  <conditionalFormatting sqref="T5:T36">
    <cfRule type="cellIs" dxfId="5612" priority="81" operator="equal">
      <formula>"a"</formula>
    </cfRule>
    <cfRule type="cellIs" dxfId="5611" priority="82" operator="equal">
      <formula>"k"</formula>
    </cfRule>
    <cfRule type="cellIs" dxfId="5610" priority="83" operator="equal">
      <formula>"u"</formula>
    </cfRule>
    <cfRule type="cellIs" dxfId="5609" priority="84" operator="equal">
      <formula>"f"</formula>
    </cfRule>
    <cfRule type="cellIs" dxfId="5608" priority="85" operator="equal">
      <formula>9</formula>
    </cfRule>
    <cfRule type="cellIs" dxfId="5607" priority="86" operator="equal">
      <formula>8</formula>
    </cfRule>
    <cfRule type="cellIs" dxfId="5606" priority="87" operator="equal">
      <formula>5</formula>
    </cfRule>
    <cfRule type="cellIs" dxfId="5605" priority="88" operator="equal">
      <formula>3</formula>
    </cfRule>
    <cfRule type="cellIs" dxfId="5604" priority="89" operator="equal">
      <formula>6</formula>
    </cfRule>
    <cfRule type="cellIs" dxfId="5603" priority="90" operator="equal">
      <formula>4</formula>
    </cfRule>
    <cfRule type="cellIs" dxfId="5602" priority="91" operator="equal">
      <formula>2</formula>
    </cfRule>
    <cfRule type="cellIs" dxfId="5601" priority="92" operator="equal">
      <formula>7</formula>
    </cfRule>
    <cfRule type="cellIs" dxfId="5600" priority="93" operator="equal">
      <formula>1</formula>
    </cfRule>
  </conditionalFormatting>
  <conditionalFormatting sqref="F5:F36">
    <cfRule type="expression" dxfId="5599" priority="68">
      <formula>COUNTIF(E5,"a")</formula>
    </cfRule>
    <cfRule type="expression" dxfId="5598" priority="69">
      <formula>COUNTIF(E5,"9")</formula>
    </cfRule>
    <cfRule type="expression" dxfId="5597" priority="70">
      <formula>COUNTIF(E5,"k")</formula>
    </cfRule>
    <cfRule type="expression" dxfId="5596" priority="71">
      <formula>COUNTIF(E5,"u")</formula>
    </cfRule>
    <cfRule type="expression" dxfId="5595" priority="72">
      <formula>COUNTIF(E5,"f")</formula>
    </cfRule>
    <cfRule type="expression" dxfId="5594" priority="73">
      <formula>COUNTIF(E5,"8")</formula>
    </cfRule>
    <cfRule type="expression" dxfId="5593" priority="74">
      <formula>COUNTIF(E5,"7")</formula>
    </cfRule>
    <cfRule type="expression" dxfId="5592" priority="75">
      <formula>COUNTIF(E5,"3")</formula>
    </cfRule>
    <cfRule type="expression" dxfId="5591" priority="77">
      <formula>COUNTIF(E5,"5")</formula>
    </cfRule>
    <cfRule type="expression" dxfId="5590" priority="78">
      <formula>COUNTIF(E5,"2")</formula>
    </cfRule>
    <cfRule type="expression" dxfId="5589" priority="79">
      <formula>COUNTIF(E5,"4")</formula>
    </cfRule>
    <cfRule type="expression" dxfId="5588" priority="80">
      <formula>COUNTIF(E5,"1")</formula>
    </cfRule>
  </conditionalFormatting>
  <conditionalFormatting sqref="F5:F36">
    <cfRule type="expression" dxfId="5587" priority="76">
      <formula>COUNTIF(E5,"6")</formula>
    </cfRule>
  </conditionalFormatting>
  <conditionalFormatting sqref="I5:I36">
    <cfRule type="expression" dxfId="5586" priority="55">
      <formula>COUNTIF(H5,"a")</formula>
    </cfRule>
    <cfRule type="expression" dxfId="5585" priority="56">
      <formula>COUNTIF(H5,"9")</formula>
    </cfRule>
    <cfRule type="expression" dxfId="5584" priority="57">
      <formula>COUNTIF(H5,"k")</formula>
    </cfRule>
    <cfRule type="expression" dxfId="5583" priority="58">
      <formula>COUNTIF(H5,"u")</formula>
    </cfRule>
    <cfRule type="expression" dxfId="5582" priority="59">
      <formula>COUNTIF(H5,"f")</formula>
    </cfRule>
    <cfRule type="expression" dxfId="5581" priority="60">
      <formula>COUNTIF(H5,"8")</formula>
    </cfRule>
    <cfRule type="expression" dxfId="5580" priority="61">
      <formula>COUNTIF(H5,"7")</formula>
    </cfRule>
    <cfRule type="expression" dxfId="5579" priority="62">
      <formula>COUNTIF(H5,"3")</formula>
    </cfRule>
    <cfRule type="expression" dxfId="5578" priority="64">
      <formula>COUNTIF(H5,"5")</formula>
    </cfRule>
    <cfRule type="expression" dxfId="5577" priority="65">
      <formula>COUNTIF(H5,"2")</formula>
    </cfRule>
    <cfRule type="expression" dxfId="5576" priority="66">
      <formula>COUNTIF(H5,"4")</formula>
    </cfRule>
    <cfRule type="expression" dxfId="5575" priority="67">
      <formula>COUNTIF(H5,"1")</formula>
    </cfRule>
  </conditionalFormatting>
  <conditionalFormatting sqref="I5:I36">
    <cfRule type="expression" dxfId="5574" priority="63">
      <formula>COUNTIF(H5,"6")</formula>
    </cfRule>
  </conditionalFormatting>
  <conditionalFormatting sqref="L5:L36">
    <cfRule type="expression" dxfId="5573" priority="42">
      <formula>COUNTIF(K5,"a")</formula>
    </cfRule>
    <cfRule type="expression" dxfId="5572" priority="43">
      <formula>COUNTIF(K5,"9")</formula>
    </cfRule>
    <cfRule type="expression" dxfId="5571" priority="44">
      <formula>COUNTIF(K5,"k")</formula>
    </cfRule>
    <cfRule type="expression" dxfId="5570" priority="45">
      <formula>COUNTIF(K5,"u")</formula>
    </cfRule>
    <cfRule type="expression" dxfId="5569" priority="46">
      <formula>COUNTIF(K5,"f")</formula>
    </cfRule>
    <cfRule type="expression" dxfId="5568" priority="47">
      <formula>COUNTIF(K5,"8")</formula>
    </cfRule>
    <cfRule type="expression" dxfId="5567" priority="48">
      <formula>COUNTIF(K5,"7")</formula>
    </cfRule>
    <cfRule type="expression" dxfId="5566" priority="49">
      <formula>COUNTIF(K5,"3")</formula>
    </cfRule>
    <cfRule type="expression" dxfId="5565" priority="51">
      <formula>COUNTIF(K5,"5")</formula>
    </cfRule>
    <cfRule type="expression" dxfId="5564" priority="52">
      <formula>COUNTIF(K5,"2")</formula>
    </cfRule>
    <cfRule type="expression" dxfId="5563" priority="53">
      <formula>COUNTIF(K5,"4")</formula>
    </cfRule>
    <cfRule type="expression" dxfId="5562" priority="54">
      <formula>COUNTIF(K5,"1")</formula>
    </cfRule>
  </conditionalFormatting>
  <conditionalFormatting sqref="L5:L36">
    <cfRule type="expression" dxfId="5561" priority="50">
      <formula>COUNTIF(K5,"6")</formula>
    </cfRule>
  </conditionalFormatting>
  <conditionalFormatting sqref="O5:O36">
    <cfRule type="expression" dxfId="5560" priority="29">
      <formula>COUNTIF(N5,"a")</formula>
    </cfRule>
    <cfRule type="expression" dxfId="5559" priority="30">
      <formula>COUNTIF(N5,"9")</formula>
    </cfRule>
    <cfRule type="expression" dxfId="5558" priority="31">
      <formula>COUNTIF(N5,"k")</formula>
    </cfRule>
    <cfRule type="expression" dxfId="5557" priority="32">
      <formula>COUNTIF(N5,"u")</formula>
    </cfRule>
    <cfRule type="expression" dxfId="5556" priority="33">
      <formula>COUNTIF(N5,"f")</formula>
    </cfRule>
    <cfRule type="expression" dxfId="5555" priority="34">
      <formula>COUNTIF(N5,"8")</formula>
    </cfRule>
    <cfRule type="expression" dxfId="5554" priority="35">
      <formula>COUNTIF(N5,"7")</formula>
    </cfRule>
    <cfRule type="expression" dxfId="5553" priority="36">
      <formula>COUNTIF(N5,"3")</formula>
    </cfRule>
    <cfRule type="expression" dxfId="5552" priority="38">
      <formula>COUNTIF(N5,"5")</formula>
    </cfRule>
    <cfRule type="expression" dxfId="5551" priority="39">
      <formula>COUNTIF(N5,"2")</formula>
    </cfRule>
    <cfRule type="expression" dxfId="5550" priority="40">
      <formula>COUNTIF(N5,"4")</formula>
    </cfRule>
    <cfRule type="expression" dxfId="5549" priority="41">
      <formula>COUNTIF(N5,"1")</formula>
    </cfRule>
  </conditionalFormatting>
  <conditionalFormatting sqref="O5:O36">
    <cfRule type="expression" dxfId="5548" priority="37">
      <formula>COUNTIF(N5,"6")</formula>
    </cfRule>
  </conditionalFormatting>
  <conditionalFormatting sqref="R5:R36">
    <cfRule type="expression" dxfId="5547" priority="16">
      <formula>COUNTIF(Q5,"a")</formula>
    </cfRule>
    <cfRule type="expression" dxfId="5546" priority="17">
      <formula>COUNTIF(Q5,"9")</formula>
    </cfRule>
    <cfRule type="expression" dxfId="5545" priority="18">
      <formula>COUNTIF(Q5,"k")</formula>
    </cfRule>
    <cfRule type="expression" dxfId="5544" priority="19">
      <formula>COUNTIF(Q5,"u")</formula>
    </cfRule>
    <cfRule type="expression" dxfId="5543" priority="20">
      <formula>COUNTIF(Q5,"f")</formula>
    </cfRule>
    <cfRule type="expression" dxfId="5542" priority="21">
      <formula>COUNTIF(Q5,"8")</formula>
    </cfRule>
    <cfRule type="expression" dxfId="5541" priority="22">
      <formula>COUNTIF(Q5,"7")</formula>
    </cfRule>
    <cfRule type="expression" dxfId="5540" priority="23">
      <formula>COUNTIF(Q5,"3")</formula>
    </cfRule>
    <cfRule type="expression" dxfId="5539" priority="25">
      <formula>COUNTIF(Q5,"5")</formula>
    </cfRule>
    <cfRule type="expression" dxfId="5538" priority="26">
      <formula>COUNTIF(Q5,"2")</formula>
    </cfRule>
    <cfRule type="expression" dxfId="5537" priority="27">
      <formula>COUNTIF(Q5,"4")</formula>
    </cfRule>
    <cfRule type="expression" dxfId="5536" priority="28">
      <formula>COUNTIF(Q5,"1")</formula>
    </cfRule>
  </conditionalFormatting>
  <conditionalFormatting sqref="R5:R36">
    <cfRule type="expression" dxfId="5535" priority="24">
      <formula>COUNTIF(Q5,"6")</formula>
    </cfRule>
  </conditionalFormatting>
  <conditionalFormatting sqref="U5:U36">
    <cfRule type="expression" dxfId="5534" priority="3">
      <formula>COUNTIF(T5,"a")</formula>
    </cfRule>
    <cfRule type="expression" dxfId="5533" priority="4">
      <formula>COUNTIF(T5,"9")</formula>
    </cfRule>
    <cfRule type="expression" dxfId="5532" priority="5">
      <formula>COUNTIF(T5,"k")</formula>
    </cfRule>
    <cfRule type="expression" dxfId="5531" priority="6">
      <formula>COUNTIF(T5,"u")</formula>
    </cfRule>
    <cfRule type="expression" dxfId="5530" priority="7">
      <formula>COUNTIF(T5,"f")</formula>
    </cfRule>
    <cfRule type="expression" dxfId="5529" priority="8">
      <formula>COUNTIF(T5,"8")</formula>
    </cfRule>
    <cfRule type="expression" dxfId="5528" priority="9">
      <formula>COUNTIF(T5,"7")</formula>
    </cfRule>
    <cfRule type="expression" dxfId="5527" priority="10">
      <formula>COUNTIF(T5,"3")</formula>
    </cfRule>
    <cfRule type="expression" dxfId="5526" priority="12">
      <formula>COUNTIF(T5,"5")</formula>
    </cfRule>
    <cfRule type="expression" dxfId="5525" priority="13">
      <formula>COUNTIF(T5,"2")</formula>
    </cfRule>
    <cfRule type="expression" dxfId="5524" priority="14">
      <formula>COUNTIF(T5,"4")</formula>
    </cfRule>
    <cfRule type="expression" dxfId="5523" priority="15">
      <formula>COUNTIF(T5,"1")</formula>
    </cfRule>
  </conditionalFormatting>
  <conditionalFormatting sqref="U5:U36">
    <cfRule type="expression" dxfId="5522" priority="11">
      <formula>COUNTIF(T5,"6")</formula>
    </cfRule>
  </conditionalFormatting>
  <conditionalFormatting sqref="V32">
    <cfRule type="cellIs" dxfId="5521" priority="1" operator="lessThan">
      <formula>0</formula>
    </cfRule>
    <cfRule type="cellIs" dxfId="552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F72FF73-FD96-3D47-9632-BE136D7A0FC1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1B1-0A9B-944A-A00D-DCB3D2E6C2DD}">
  <sheetPr codeName="Tabelle69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24</v>
      </c>
      <c r="Q1" s="176"/>
      <c r="R1" s="79">
        <f>DATE(V1,1,7*P1-3-WEEKDAY(DATE(V1,,),3))</f>
        <v>45453</v>
      </c>
      <c r="S1" s="80" t="s">
        <v>1</v>
      </c>
      <c r="T1" s="177">
        <f>DATE(V1,1,7*P1+3-WEEKDAY(DATE(V1,,),3))</f>
        <v>45459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45453</v>
      </c>
      <c r="B2" s="178"/>
      <c r="C2" s="178"/>
      <c r="D2" s="178">
        <f>A2+1</f>
        <v>45454</v>
      </c>
      <c r="E2" s="179"/>
      <c r="F2" s="179"/>
      <c r="G2" s="178">
        <f>D2+1</f>
        <v>45455</v>
      </c>
      <c r="H2" s="179"/>
      <c r="I2" s="179"/>
      <c r="J2" s="178">
        <f>G2+1</f>
        <v>45456</v>
      </c>
      <c r="K2" s="179"/>
      <c r="L2" s="179"/>
      <c r="M2" s="178">
        <f>J2+1</f>
        <v>45457</v>
      </c>
      <c r="N2" s="179"/>
      <c r="O2" s="179"/>
      <c r="P2" s="178">
        <f>M2+1</f>
        <v>45458</v>
      </c>
      <c r="Q2" s="179"/>
      <c r="R2" s="179"/>
      <c r="S2" s="178">
        <f>P2+1</f>
        <v>45459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45453</v>
      </c>
      <c r="B3" s="168"/>
      <c r="C3" s="168"/>
      <c r="D3" s="168">
        <f>A3+1</f>
        <v>45454</v>
      </c>
      <c r="E3" s="168"/>
      <c r="F3" s="168"/>
      <c r="G3" s="168">
        <f>D3+1</f>
        <v>45455</v>
      </c>
      <c r="H3" s="168"/>
      <c r="I3" s="168"/>
      <c r="J3" s="168">
        <f>G3+1</f>
        <v>45456</v>
      </c>
      <c r="K3" s="168"/>
      <c r="L3" s="168"/>
      <c r="M3" s="168">
        <f>J3+1</f>
        <v>45457</v>
      </c>
      <c r="N3" s="168"/>
      <c r="O3" s="168"/>
      <c r="P3" s="168">
        <f>M3+1</f>
        <v>45458</v>
      </c>
      <c r="Q3" s="168"/>
      <c r="R3" s="168"/>
      <c r="S3" s="168">
        <f>P3+1</f>
        <v>45459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45453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45454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45455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45456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45457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45458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45459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23'!V32</f>
        <v>-920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-960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519" priority="159">
      <formula>COUNTIF(B5,"a")</formula>
    </cfRule>
    <cfRule type="expression" dxfId="5518" priority="161">
      <formula>COUNTIF(B5,"9")</formula>
    </cfRule>
    <cfRule type="expression" dxfId="5517" priority="163">
      <formula>COUNTIF(B5,"k")</formula>
    </cfRule>
    <cfRule type="expression" dxfId="5516" priority="164">
      <formula>COUNTIF(B5,"u")</formula>
    </cfRule>
    <cfRule type="expression" dxfId="5515" priority="167">
      <formula>COUNTIF(B5,"f")</formula>
    </cfRule>
    <cfRule type="expression" dxfId="5514" priority="168">
      <formula>COUNTIF(B5,"8")</formula>
    </cfRule>
    <cfRule type="expression" dxfId="5513" priority="169">
      <formula>COUNTIF(B5,"7")</formula>
    </cfRule>
    <cfRule type="expression" dxfId="5512" priority="170">
      <formula>COUNTIF(B5,"3")</formula>
    </cfRule>
    <cfRule type="expression" dxfId="5511" priority="181">
      <formula>COUNTIF(B5,"5")</formula>
    </cfRule>
    <cfRule type="expression" dxfId="5510" priority="182">
      <formula>COUNTIF(B5,"2")</formula>
    </cfRule>
    <cfRule type="expression" dxfId="5509" priority="183">
      <formula>COUNTIF(B5,"4")</formula>
    </cfRule>
    <cfRule type="expression" dxfId="5508" priority="184">
      <formula>COUNTIF(B5,"1")</formula>
    </cfRule>
  </conditionalFormatting>
  <conditionalFormatting sqref="B5:B36">
    <cfRule type="cellIs" dxfId="5507" priority="160" operator="equal">
      <formula>"a"</formula>
    </cfRule>
    <cfRule type="cellIs" dxfId="5506" priority="162" operator="equal">
      <formula>"k"</formula>
    </cfRule>
    <cfRule type="cellIs" dxfId="5505" priority="165" operator="equal">
      <formula>"u"</formula>
    </cfRule>
    <cfRule type="cellIs" dxfId="5504" priority="166" operator="equal">
      <formula>"f"</formula>
    </cfRule>
    <cfRule type="cellIs" dxfId="5503" priority="171" operator="equal">
      <formula>9</formula>
    </cfRule>
    <cfRule type="cellIs" dxfId="5502" priority="172" operator="equal">
      <formula>8</formula>
    </cfRule>
    <cfRule type="cellIs" dxfId="5501" priority="173" operator="equal">
      <formula>5</formula>
    </cfRule>
    <cfRule type="cellIs" dxfId="5500" priority="174" operator="equal">
      <formula>3</formula>
    </cfRule>
    <cfRule type="cellIs" dxfId="5499" priority="176" operator="equal">
      <formula>6</formula>
    </cfRule>
    <cfRule type="cellIs" dxfId="5498" priority="177" operator="equal">
      <formula>4</formula>
    </cfRule>
    <cfRule type="cellIs" dxfId="5497" priority="178" operator="equal">
      <formula>2</formula>
    </cfRule>
    <cfRule type="cellIs" dxfId="5496" priority="179" operator="equal">
      <formula>7</formula>
    </cfRule>
    <cfRule type="cellIs" dxfId="5495" priority="180" operator="equal">
      <formula>1</formula>
    </cfRule>
  </conditionalFormatting>
  <conditionalFormatting sqref="C5:C36">
    <cfRule type="expression" dxfId="5494" priority="175">
      <formula>COUNTIF(B5,"6")</formula>
    </cfRule>
  </conditionalFormatting>
  <conditionalFormatting sqref="E5:E36">
    <cfRule type="cellIs" dxfId="5493" priority="146" operator="equal">
      <formula>"a"</formula>
    </cfRule>
    <cfRule type="cellIs" dxfId="5492" priority="147" operator="equal">
      <formula>"k"</formula>
    </cfRule>
    <cfRule type="cellIs" dxfId="5491" priority="148" operator="equal">
      <formula>"u"</formula>
    </cfRule>
    <cfRule type="cellIs" dxfId="5490" priority="149" operator="equal">
      <formula>"f"</formula>
    </cfRule>
    <cfRule type="cellIs" dxfId="5489" priority="150" operator="equal">
      <formula>9</formula>
    </cfRule>
    <cfRule type="cellIs" dxfId="5488" priority="151" operator="equal">
      <formula>8</formula>
    </cfRule>
    <cfRule type="cellIs" dxfId="5487" priority="152" operator="equal">
      <formula>5</formula>
    </cfRule>
    <cfRule type="cellIs" dxfId="5486" priority="153" operator="equal">
      <formula>3</formula>
    </cfRule>
    <cfRule type="cellIs" dxfId="5485" priority="154" operator="equal">
      <formula>6</formula>
    </cfRule>
    <cfRule type="cellIs" dxfId="5484" priority="155" operator="equal">
      <formula>4</formula>
    </cfRule>
    <cfRule type="cellIs" dxfId="5483" priority="156" operator="equal">
      <formula>2</formula>
    </cfRule>
    <cfRule type="cellIs" dxfId="5482" priority="157" operator="equal">
      <formula>7</formula>
    </cfRule>
    <cfRule type="cellIs" dxfId="5481" priority="158" operator="equal">
      <formula>1</formula>
    </cfRule>
  </conditionalFormatting>
  <conditionalFormatting sqref="H5:H36">
    <cfRule type="cellIs" dxfId="5480" priority="133" operator="equal">
      <formula>"a"</formula>
    </cfRule>
    <cfRule type="cellIs" dxfId="5479" priority="134" operator="equal">
      <formula>"k"</formula>
    </cfRule>
    <cfRule type="cellIs" dxfId="5478" priority="135" operator="equal">
      <formula>"u"</formula>
    </cfRule>
    <cfRule type="cellIs" dxfId="5477" priority="136" operator="equal">
      <formula>"f"</formula>
    </cfRule>
    <cfRule type="cellIs" dxfId="5476" priority="137" operator="equal">
      <formula>9</formula>
    </cfRule>
    <cfRule type="cellIs" dxfId="5475" priority="138" operator="equal">
      <formula>8</formula>
    </cfRule>
    <cfRule type="cellIs" dxfId="5474" priority="139" operator="equal">
      <formula>5</formula>
    </cfRule>
    <cfRule type="cellIs" dxfId="5473" priority="140" operator="equal">
      <formula>3</formula>
    </cfRule>
    <cfRule type="cellIs" dxfId="5472" priority="141" operator="equal">
      <formula>6</formula>
    </cfRule>
    <cfRule type="cellIs" dxfId="5471" priority="142" operator="equal">
      <formula>4</formula>
    </cfRule>
    <cfRule type="cellIs" dxfId="5470" priority="143" operator="equal">
      <formula>2</formula>
    </cfRule>
    <cfRule type="cellIs" dxfId="5469" priority="144" operator="equal">
      <formula>7</formula>
    </cfRule>
    <cfRule type="cellIs" dxfId="5468" priority="145" operator="equal">
      <formula>1</formula>
    </cfRule>
  </conditionalFormatting>
  <conditionalFormatting sqref="K5:K36">
    <cfRule type="cellIs" dxfId="5467" priority="120" operator="equal">
      <formula>"a"</formula>
    </cfRule>
    <cfRule type="cellIs" dxfId="5466" priority="121" operator="equal">
      <formula>"k"</formula>
    </cfRule>
    <cfRule type="cellIs" dxfId="5465" priority="122" operator="equal">
      <formula>"u"</formula>
    </cfRule>
    <cfRule type="cellIs" dxfId="5464" priority="123" operator="equal">
      <formula>"f"</formula>
    </cfRule>
    <cfRule type="cellIs" dxfId="5463" priority="124" operator="equal">
      <formula>9</formula>
    </cfRule>
    <cfRule type="cellIs" dxfId="5462" priority="125" operator="equal">
      <formula>8</formula>
    </cfRule>
    <cfRule type="cellIs" dxfId="5461" priority="126" operator="equal">
      <formula>5</formula>
    </cfRule>
    <cfRule type="cellIs" dxfId="5460" priority="127" operator="equal">
      <formula>3</formula>
    </cfRule>
    <cfRule type="cellIs" dxfId="5459" priority="128" operator="equal">
      <formula>6</formula>
    </cfRule>
    <cfRule type="cellIs" dxfId="5458" priority="129" operator="equal">
      <formula>4</formula>
    </cfRule>
    <cfRule type="cellIs" dxfId="5457" priority="130" operator="equal">
      <formula>2</formula>
    </cfRule>
    <cfRule type="cellIs" dxfId="5456" priority="131" operator="equal">
      <formula>7</formula>
    </cfRule>
    <cfRule type="cellIs" dxfId="5455" priority="132" operator="equal">
      <formula>1</formula>
    </cfRule>
  </conditionalFormatting>
  <conditionalFormatting sqref="N5:N36">
    <cfRule type="cellIs" dxfId="5454" priority="107" operator="equal">
      <formula>"a"</formula>
    </cfRule>
    <cfRule type="cellIs" dxfId="5453" priority="108" operator="equal">
      <formula>"k"</formula>
    </cfRule>
    <cfRule type="cellIs" dxfId="5452" priority="109" operator="equal">
      <formula>"u"</formula>
    </cfRule>
    <cfRule type="cellIs" dxfId="5451" priority="110" operator="equal">
      <formula>"f"</formula>
    </cfRule>
    <cfRule type="cellIs" dxfId="5450" priority="111" operator="equal">
      <formula>9</formula>
    </cfRule>
    <cfRule type="cellIs" dxfId="5449" priority="112" operator="equal">
      <formula>8</formula>
    </cfRule>
    <cfRule type="cellIs" dxfId="5448" priority="113" operator="equal">
      <formula>5</formula>
    </cfRule>
    <cfRule type="cellIs" dxfId="5447" priority="114" operator="equal">
      <formula>3</formula>
    </cfRule>
    <cfRule type="cellIs" dxfId="5446" priority="115" operator="equal">
      <formula>6</formula>
    </cfRule>
    <cfRule type="cellIs" dxfId="5445" priority="116" operator="equal">
      <formula>4</formula>
    </cfRule>
    <cfRule type="cellIs" dxfId="5444" priority="117" operator="equal">
      <formula>2</formula>
    </cfRule>
    <cfRule type="cellIs" dxfId="5443" priority="118" operator="equal">
      <formula>7</formula>
    </cfRule>
    <cfRule type="cellIs" dxfId="5442" priority="119" operator="equal">
      <formula>1</formula>
    </cfRule>
  </conditionalFormatting>
  <conditionalFormatting sqref="Q5:Q36">
    <cfRule type="cellIs" dxfId="5441" priority="94" operator="equal">
      <formula>"a"</formula>
    </cfRule>
    <cfRule type="cellIs" dxfId="5440" priority="95" operator="equal">
      <formula>"k"</formula>
    </cfRule>
    <cfRule type="cellIs" dxfId="5439" priority="96" operator="equal">
      <formula>"u"</formula>
    </cfRule>
    <cfRule type="cellIs" dxfId="5438" priority="97" operator="equal">
      <formula>"f"</formula>
    </cfRule>
    <cfRule type="cellIs" dxfId="5437" priority="98" operator="equal">
      <formula>9</formula>
    </cfRule>
    <cfRule type="cellIs" dxfId="5436" priority="99" operator="equal">
      <formula>8</formula>
    </cfRule>
    <cfRule type="cellIs" dxfId="5435" priority="100" operator="equal">
      <formula>5</formula>
    </cfRule>
    <cfRule type="cellIs" dxfId="5434" priority="101" operator="equal">
      <formula>3</formula>
    </cfRule>
    <cfRule type="cellIs" dxfId="5433" priority="102" operator="equal">
      <formula>6</formula>
    </cfRule>
    <cfRule type="cellIs" dxfId="5432" priority="103" operator="equal">
      <formula>4</formula>
    </cfRule>
    <cfRule type="cellIs" dxfId="5431" priority="104" operator="equal">
      <formula>2</formula>
    </cfRule>
    <cfRule type="cellIs" dxfId="5430" priority="105" operator="equal">
      <formula>7</formula>
    </cfRule>
    <cfRule type="cellIs" dxfId="5429" priority="106" operator="equal">
      <formula>1</formula>
    </cfRule>
  </conditionalFormatting>
  <conditionalFormatting sqref="T5:T36">
    <cfRule type="cellIs" dxfId="5428" priority="81" operator="equal">
      <formula>"a"</formula>
    </cfRule>
    <cfRule type="cellIs" dxfId="5427" priority="82" operator="equal">
      <formula>"k"</formula>
    </cfRule>
    <cfRule type="cellIs" dxfId="5426" priority="83" operator="equal">
      <formula>"u"</formula>
    </cfRule>
    <cfRule type="cellIs" dxfId="5425" priority="84" operator="equal">
      <formula>"f"</formula>
    </cfRule>
    <cfRule type="cellIs" dxfId="5424" priority="85" operator="equal">
      <formula>9</formula>
    </cfRule>
    <cfRule type="cellIs" dxfId="5423" priority="86" operator="equal">
      <formula>8</formula>
    </cfRule>
    <cfRule type="cellIs" dxfId="5422" priority="87" operator="equal">
      <formula>5</formula>
    </cfRule>
    <cfRule type="cellIs" dxfId="5421" priority="88" operator="equal">
      <formula>3</formula>
    </cfRule>
    <cfRule type="cellIs" dxfId="5420" priority="89" operator="equal">
      <formula>6</formula>
    </cfRule>
    <cfRule type="cellIs" dxfId="5419" priority="90" operator="equal">
      <formula>4</formula>
    </cfRule>
    <cfRule type="cellIs" dxfId="5418" priority="91" operator="equal">
      <formula>2</formula>
    </cfRule>
    <cfRule type="cellIs" dxfId="5417" priority="92" operator="equal">
      <formula>7</formula>
    </cfRule>
    <cfRule type="cellIs" dxfId="5416" priority="93" operator="equal">
      <formula>1</formula>
    </cfRule>
  </conditionalFormatting>
  <conditionalFormatting sqref="F5:F36">
    <cfRule type="expression" dxfId="5415" priority="68">
      <formula>COUNTIF(E5,"a")</formula>
    </cfRule>
    <cfRule type="expression" dxfId="5414" priority="69">
      <formula>COUNTIF(E5,"9")</formula>
    </cfRule>
    <cfRule type="expression" dxfId="5413" priority="70">
      <formula>COUNTIF(E5,"k")</formula>
    </cfRule>
    <cfRule type="expression" dxfId="5412" priority="71">
      <formula>COUNTIF(E5,"u")</formula>
    </cfRule>
    <cfRule type="expression" dxfId="5411" priority="72">
      <formula>COUNTIF(E5,"f")</formula>
    </cfRule>
    <cfRule type="expression" dxfId="5410" priority="73">
      <formula>COUNTIF(E5,"8")</formula>
    </cfRule>
    <cfRule type="expression" dxfId="5409" priority="74">
      <formula>COUNTIF(E5,"7")</formula>
    </cfRule>
    <cfRule type="expression" dxfId="5408" priority="75">
      <formula>COUNTIF(E5,"3")</formula>
    </cfRule>
    <cfRule type="expression" dxfId="5407" priority="77">
      <formula>COUNTIF(E5,"5")</formula>
    </cfRule>
    <cfRule type="expression" dxfId="5406" priority="78">
      <formula>COUNTIF(E5,"2")</formula>
    </cfRule>
    <cfRule type="expression" dxfId="5405" priority="79">
      <formula>COUNTIF(E5,"4")</formula>
    </cfRule>
    <cfRule type="expression" dxfId="5404" priority="80">
      <formula>COUNTIF(E5,"1")</formula>
    </cfRule>
  </conditionalFormatting>
  <conditionalFormatting sqref="F5:F36">
    <cfRule type="expression" dxfId="5403" priority="76">
      <formula>COUNTIF(E5,"6")</formula>
    </cfRule>
  </conditionalFormatting>
  <conditionalFormatting sqref="I5:I36">
    <cfRule type="expression" dxfId="5402" priority="55">
      <formula>COUNTIF(H5,"a")</formula>
    </cfRule>
    <cfRule type="expression" dxfId="5401" priority="56">
      <formula>COUNTIF(H5,"9")</formula>
    </cfRule>
    <cfRule type="expression" dxfId="5400" priority="57">
      <formula>COUNTIF(H5,"k")</formula>
    </cfRule>
    <cfRule type="expression" dxfId="5399" priority="58">
      <formula>COUNTIF(H5,"u")</formula>
    </cfRule>
    <cfRule type="expression" dxfId="5398" priority="59">
      <formula>COUNTIF(H5,"f")</formula>
    </cfRule>
    <cfRule type="expression" dxfId="5397" priority="60">
      <formula>COUNTIF(H5,"8")</formula>
    </cfRule>
    <cfRule type="expression" dxfId="5396" priority="61">
      <formula>COUNTIF(H5,"7")</formula>
    </cfRule>
    <cfRule type="expression" dxfId="5395" priority="62">
      <formula>COUNTIF(H5,"3")</formula>
    </cfRule>
    <cfRule type="expression" dxfId="5394" priority="64">
      <formula>COUNTIF(H5,"5")</formula>
    </cfRule>
    <cfRule type="expression" dxfId="5393" priority="65">
      <formula>COUNTIF(H5,"2")</formula>
    </cfRule>
    <cfRule type="expression" dxfId="5392" priority="66">
      <formula>COUNTIF(H5,"4")</formula>
    </cfRule>
    <cfRule type="expression" dxfId="5391" priority="67">
      <formula>COUNTIF(H5,"1")</formula>
    </cfRule>
  </conditionalFormatting>
  <conditionalFormatting sqref="I5:I36">
    <cfRule type="expression" dxfId="5390" priority="63">
      <formula>COUNTIF(H5,"6")</formula>
    </cfRule>
  </conditionalFormatting>
  <conditionalFormatting sqref="L5:L36">
    <cfRule type="expression" dxfId="5389" priority="42">
      <formula>COUNTIF(K5,"a")</formula>
    </cfRule>
    <cfRule type="expression" dxfId="5388" priority="43">
      <formula>COUNTIF(K5,"9")</formula>
    </cfRule>
    <cfRule type="expression" dxfId="5387" priority="44">
      <formula>COUNTIF(K5,"k")</formula>
    </cfRule>
    <cfRule type="expression" dxfId="5386" priority="45">
      <formula>COUNTIF(K5,"u")</formula>
    </cfRule>
    <cfRule type="expression" dxfId="5385" priority="46">
      <formula>COUNTIF(K5,"f")</formula>
    </cfRule>
    <cfRule type="expression" dxfId="5384" priority="47">
      <formula>COUNTIF(K5,"8")</formula>
    </cfRule>
    <cfRule type="expression" dxfId="5383" priority="48">
      <formula>COUNTIF(K5,"7")</formula>
    </cfRule>
    <cfRule type="expression" dxfId="5382" priority="49">
      <formula>COUNTIF(K5,"3")</formula>
    </cfRule>
    <cfRule type="expression" dxfId="5381" priority="51">
      <formula>COUNTIF(K5,"5")</formula>
    </cfRule>
    <cfRule type="expression" dxfId="5380" priority="52">
      <formula>COUNTIF(K5,"2")</formula>
    </cfRule>
    <cfRule type="expression" dxfId="5379" priority="53">
      <formula>COUNTIF(K5,"4")</formula>
    </cfRule>
    <cfRule type="expression" dxfId="5378" priority="54">
      <formula>COUNTIF(K5,"1")</formula>
    </cfRule>
  </conditionalFormatting>
  <conditionalFormatting sqref="L5:L36">
    <cfRule type="expression" dxfId="5377" priority="50">
      <formula>COUNTIF(K5,"6")</formula>
    </cfRule>
  </conditionalFormatting>
  <conditionalFormatting sqref="O5:O36">
    <cfRule type="expression" dxfId="5376" priority="29">
      <formula>COUNTIF(N5,"a")</formula>
    </cfRule>
    <cfRule type="expression" dxfId="5375" priority="30">
      <formula>COUNTIF(N5,"9")</formula>
    </cfRule>
    <cfRule type="expression" dxfId="5374" priority="31">
      <formula>COUNTIF(N5,"k")</formula>
    </cfRule>
    <cfRule type="expression" dxfId="5373" priority="32">
      <formula>COUNTIF(N5,"u")</formula>
    </cfRule>
    <cfRule type="expression" dxfId="5372" priority="33">
      <formula>COUNTIF(N5,"f")</formula>
    </cfRule>
    <cfRule type="expression" dxfId="5371" priority="34">
      <formula>COUNTIF(N5,"8")</formula>
    </cfRule>
    <cfRule type="expression" dxfId="5370" priority="35">
      <formula>COUNTIF(N5,"7")</formula>
    </cfRule>
    <cfRule type="expression" dxfId="5369" priority="36">
      <formula>COUNTIF(N5,"3")</formula>
    </cfRule>
    <cfRule type="expression" dxfId="5368" priority="38">
      <formula>COUNTIF(N5,"5")</formula>
    </cfRule>
    <cfRule type="expression" dxfId="5367" priority="39">
      <formula>COUNTIF(N5,"2")</formula>
    </cfRule>
    <cfRule type="expression" dxfId="5366" priority="40">
      <formula>COUNTIF(N5,"4")</formula>
    </cfRule>
    <cfRule type="expression" dxfId="5365" priority="41">
      <formula>COUNTIF(N5,"1")</formula>
    </cfRule>
  </conditionalFormatting>
  <conditionalFormatting sqref="O5:O36">
    <cfRule type="expression" dxfId="5364" priority="37">
      <formula>COUNTIF(N5,"6")</formula>
    </cfRule>
  </conditionalFormatting>
  <conditionalFormatting sqref="R5:R36">
    <cfRule type="expression" dxfId="5363" priority="16">
      <formula>COUNTIF(Q5,"a")</formula>
    </cfRule>
    <cfRule type="expression" dxfId="5362" priority="17">
      <formula>COUNTIF(Q5,"9")</formula>
    </cfRule>
    <cfRule type="expression" dxfId="5361" priority="18">
      <formula>COUNTIF(Q5,"k")</formula>
    </cfRule>
    <cfRule type="expression" dxfId="5360" priority="19">
      <formula>COUNTIF(Q5,"u")</formula>
    </cfRule>
    <cfRule type="expression" dxfId="5359" priority="20">
      <formula>COUNTIF(Q5,"f")</formula>
    </cfRule>
    <cfRule type="expression" dxfId="5358" priority="21">
      <formula>COUNTIF(Q5,"8")</formula>
    </cfRule>
    <cfRule type="expression" dxfId="5357" priority="22">
      <formula>COUNTIF(Q5,"7")</formula>
    </cfRule>
    <cfRule type="expression" dxfId="5356" priority="23">
      <formula>COUNTIF(Q5,"3")</formula>
    </cfRule>
    <cfRule type="expression" dxfId="5355" priority="25">
      <formula>COUNTIF(Q5,"5")</formula>
    </cfRule>
    <cfRule type="expression" dxfId="5354" priority="26">
      <formula>COUNTIF(Q5,"2")</formula>
    </cfRule>
    <cfRule type="expression" dxfId="5353" priority="27">
      <formula>COUNTIF(Q5,"4")</formula>
    </cfRule>
    <cfRule type="expression" dxfId="5352" priority="28">
      <formula>COUNTIF(Q5,"1")</formula>
    </cfRule>
  </conditionalFormatting>
  <conditionalFormatting sqref="R5:R36">
    <cfRule type="expression" dxfId="5351" priority="24">
      <formula>COUNTIF(Q5,"6")</formula>
    </cfRule>
  </conditionalFormatting>
  <conditionalFormatting sqref="U5:U36">
    <cfRule type="expression" dxfId="5350" priority="3">
      <formula>COUNTIF(T5,"a")</formula>
    </cfRule>
    <cfRule type="expression" dxfId="5349" priority="4">
      <formula>COUNTIF(T5,"9")</formula>
    </cfRule>
    <cfRule type="expression" dxfId="5348" priority="5">
      <formula>COUNTIF(T5,"k")</formula>
    </cfRule>
    <cfRule type="expression" dxfId="5347" priority="6">
      <formula>COUNTIF(T5,"u")</formula>
    </cfRule>
    <cfRule type="expression" dxfId="5346" priority="7">
      <formula>COUNTIF(T5,"f")</formula>
    </cfRule>
    <cfRule type="expression" dxfId="5345" priority="8">
      <formula>COUNTIF(T5,"8")</formula>
    </cfRule>
    <cfRule type="expression" dxfId="5344" priority="9">
      <formula>COUNTIF(T5,"7")</formula>
    </cfRule>
    <cfRule type="expression" dxfId="5343" priority="10">
      <formula>COUNTIF(T5,"3")</formula>
    </cfRule>
    <cfRule type="expression" dxfId="5342" priority="12">
      <formula>COUNTIF(T5,"5")</formula>
    </cfRule>
    <cfRule type="expression" dxfId="5341" priority="13">
      <formula>COUNTIF(T5,"2")</formula>
    </cfRule>
    <cfRule type="expression" dxfId="5340" priority="14">
      <formula>COUNTIF(T5,"4")</formula>
    </cfRule>
    <cfRule type="expression" dxfId="5339" priority="15">
      <formula>COUNTIF(T5,"1")</formula>
    </cfRule>
  </conditionalFormatting>
  <conditionalFormatting sqref="U5:U36">
    <cfRule type="expression" dxfId="5338" priority="11">
      <formula>COUNTIF(T5,"6")</formula>
    </cfRule>
  </conditionalFormatting>
  <conditionalFormatting sqref="V32">
    <cfRule type="cellIs" dxfId="5337" priority="1" operator="lessThan">
      <formula>0</formula>
    </cfRule>
    <cfRule type="cellIs" dxfId="533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630D07AA-9968-E648-990F-16F92BC51639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A1FE5-AA1A-154B-9FFD-D83630CB05FA}">
  <sheetPr codeName="Tabelle70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25</v>
      </c>
      <c r="Q1" s="176"/>
      <c r="R1" s="79">
        <f>DATE(V1,1,7*P1-3-WEEKDAY(DATE(V1,,),3))</f>
        <v>45460</v>
      </c>
      <c r="S1" s="80" t="s">
        <v>1</v>
      </c>
      <c r="T1" s="177">
        <f>DATE(V1,1,7*P1+3-WEEKDAY(DATE(V1,,),3))</f>
        <v>45466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45460</v>
      </c>
      <c r="B2" s="178"/>
      <c r="C2" s="178"/>
      <c r="D2" s="178">
        <f>A2+1</f>
        <v>45461</v>
      </c>
      <c r="E2" s="179"/>
      <c r="F2" s="179"/>
      <c r="G2" s="178">
        <f>D2+1</f>
        <v>45462</v>
      </c>
      <c r="H2" s="179"/>
      <c r="I2" s="179"/>
      <c r="J2" s="178">
        <f>G2+1</f>
        <v>45463</v>
      </c>
      <c r="K2" s="179"/>
      <c r="L2" s="179"/>
      <c r="M2" s="178">
        <f>J2+1</f>
        <v>45464</v>
      </c>
      <c r="N2" s="179"/>
      <c r="O2" s="179"/>
      <c r="P2" s="178">
        <f>M2+1</f>
        <v>45465</v>
      </c>
      <c r="Q2" s="179"/>
      <c r="R2" s="179"/>
      <c r="S2" s="178">
        <f>P2+1</f>
        <v>45466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45460</v>
      </c>
      <c r="B3" s="168"/>
      <c r="C3" s="168"/>
      <c r="D3" s="168">
        <f>A3+1</f>
        <v>45461</v>
      </c>
      <c r="E3" s="168"/>
      <c r="F3" s="168"/>
      <c r="G3" s="168">
        <f>D3+1</f>
        <v>45462</v>
      </c>
      <c r="H3" s="168"/>
      <c r="I3" s="168"/>
      <c r="J3" s="168">
        <f>G3+1</f>
        <v>45463</v>
      </c>
      <c r="K3" s="168"/>
      <c r="L3" s="168"/>
      <c r="M3" s="168">
        <f>J3+1</f>
        <v>45464</v>
      </c>
      <c r="N3" s="168"/>
      <c r="O3" s="168"/>
      <c r="P3" s="168">
        <f>M3+1</f>
        <v>45465</v>
      </c>
      <c r="Q3" s="168"/>
      <c r="R3" s="168"/>
      <c r="S3" s="168">
        <f>P3+1</f>
        <v>45466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45460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45461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45462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45463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45464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45465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45466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24'!V32</f>
        <v>-960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-1000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335" priority="159">
      <formula>COUNTIF(B5,"a")</formula>
    </cfRule>
    <cfRule type="expression" dxfId="5334" priority="161">
      <formula>COUNTIF(B5,"9")</formula>
    </cfRule>
    <cfRule type="expression" dxfId="5333" priority="163">
      <formula>COUNTIF(B5,"k")</formula>
    </cfRule>
    <cfRule type="expression" dxfId="5332" priority="164">
      <formula>COUNTIF(B5,"u")</formula>
    </cfRule>
    <cfRule type="expression" dxfId="5331" priority="167">
      <formula>COUNTIF(B5,"f")</formula>
    </cfRule>
    <cfRule type="expression" dxfId="5330" priority="168">
      <formula>COUNTIF(B5,"8")</formula>
    </cfRule>
    <cfRule type="expression" dxfId="5329" priority="169">
      <formula>COUNTIF(B5,"7")</formula>
    </cfRule>
    <cfRule type="expression" dxfId="5328" priority="170">
      <formula>COUNTIF(B5,"3")</formula>
    </cfRule>
    <cfRule type="expression" dxfId="5327" priority="181">
      <formula>COUNTIF(B5,"5")</formula>
    </cfRule>
    <cfRule type="expression" dxfId="5326" priority="182">
      <formula>COUNTIF(B5,"2")</formula>
    </cfRule>
    <cfRule type="expression" dxfId="5325" priority="183">
      <formula>COUNTIF(B5,"4")</formula>
    </cfRule>
    <cfRule type="expression" dxfId="5324" priority="184">
      <formula>COUNTIF(B5,"1")</formula>
    </cfRule>
  </conditionalFormatting>
  <conditionalFormatting sqref="B5:B36">
    <cfRule type="cellIs" dxfId="5323" priority="160" operator="equal">
      <formula>"a"</formula>
    </cfRule>
    <cfRule type="cellIs" dxfId="5322" priority="162" operator="equal">
      <formula>"k"</formula>
    </cfRule>
    <cfRule type="cellIs" dxfId="5321" priority="165" operator="equal">
      <formula>"u"</formula>
    </cfRule>
    <cfRule type="cellIs" dxfId="5320" priority="166" operator="equal">
      <formula>"f"</formula>
    </cfRule>
    <cfRule type="cellIs" dxfId="5319" priority="171" operator="equal">
      <formula>9</formula>
    </cfRule>
    <cfRule type="cellIs" dxfId="5318" priority="172" operator="equal">
      <formula>8</formula>
    </cfRule>
    <cfRule type="cellIs" dxfId="5317" priority="173" operator="equal">
      <formula>5</formula>
    </cfRule>
    <cfRule type="cellIs" dxfId="5316" priority="174" operator="equal">
      <formula>3</formula>
    </cfRule>
    <cfRule type="cellIs" dxfId="5315" priority="176" operator="equal">
      <formula>6</formula>
    </cfRule>
    <cfRule type="cellIs" dxfId="5314" priority="177" operator="equal">
      <formula>4</formula>
    </cfRule>
    <cfRule type="cellIs" dxfId="5313" priority="178" operator="equal">
      <formula>2</formula>
    </cfRule>
    <cfRule type="cellIs" dxfId="5312" priority="179" operator="equal">
      <formula>7</formula>
    </cfRule>
    <cfRule type="cellIs" dxfId="5311" priority="180" operator="equal">
      <formula>1</formula>
    </cfRule>
  </conditionalFormatting>
  <conditionalFormatting sqref="C5:C36">
    <cfRule type="expression" dxfId="5310" priority="175">
      <formula>COUNTIF(B5,"6")</formula>
    </cfRule>
  </conditionalFormatting>
  <conditionalFormatting sqref="E5:E36">
    <cfRule type="cellIs" dxfId="5309" priority="146" operator="equal">
      <formula>"a"</formula>
    </cfRule>
    <cfRule type="cellIs" dxfId="5308" priority="147" operator="equal">
      <formula>"k"</formula>
    </cfRule>
    <cfRule type="cellIs" dxfId="5307" priority="148" operator="equal">
      <formula>"u"</formula>
    </cfRule>
    <cfRule type="cellIs" dxfId="5306" priority="149" operator="equal">
      <formula>"f"</formula>
    </cfRule>
    <cfRule type="cellIs" dxfId="5305" priority="150" operator="equal">
      <formula>9</formula>
    </cfRule>
    <cfRule type="cellIs" dxfId="5304" priority="151" operator="equal">
      <formula>8</formula>
    </cfRule>
    <cfRule type="cellIs" dxfId="5303" priority="152" operator="equal">
      <formula>5</formula>
    </cfRule>
    <cfRule type="cellIs" dxfId="5302" priority="153" operator="equal">
      <formula>3</formula>
    </cfRule>
    <cfRule type="cellIs" dxfId="5301" priority="154" operator="equal">
      <formula>6</formula>
    </cfRule>
    <cfRule type="cellIs" dxfId="5300" priority="155" operator="equal">
      <formula>4</formula>
    </cfRule>
    <cfRule type="cellIs" dxfId="5299" priority="156" operator="equal">
      <formula>2</formula>
    </cfRule>
    <cfRule type="cellIs" dxfId="5298" priority="157" operator="equal">
      <formula>7</formula>
    </cfRule>
    <cfRule type="cellIs" dxfId="5297" priority="158" operator="equal">
      <formula>1</formula>
    </cfRule>
  </conditionalFormatting>
  <conditionalFormatting sqref="H5:H36">
    <cfRule type="cellIs" dxfId="5296" priority="133" operator="equal">
      <formula>"a"</formula>
    </cfRule>
    <cfRule type="cellIs" dxfId="5295" priority="134" operator="equal">
      <formula>"k"</formula>
    </cfRule>
    <cfRule type="cellIs" dxfId="5294" priority="135" operator="equal">
      <formula>"u"</formula>
    </cfRule>
    <cfRule type="cellIs" dxfId="5293" priority="136" operator="equal">
      <formula>"f"</formula>
    </cfRule>
    <cfRule type="cellIs" dxfId="5292" priority="137" operator="equal">
      <formula>9</formula>
    </cfRule>
    <cfRule type="cellIs" dxfId="5291" priority="138" operator="equal">
      <formula>8</formula>
    </cfRule>
    <cfRule type="cellIs" dxfId="5290" priority="139" operator="equal">
      <formula>5</formula>
    </cfRule>
    <cfRule type="cellIs" dxfId="5289" priority="140" operator="equal">
      <formula>3</formula>
    </cfRule>
    <cfRule type="cellIs" dxfId="5288" priority="141" operator="equal">
      <formula>6</formula>
    </cfRule>
    <cfRule type="cellIs" dxfId="5287" priority="142" operator="equal">
      <formula>4</formula>
    </cfRule>
    <cfRule type="cellIs" dxfId="5286" priority="143" operator="equal">
      <formula>2</formula>
    </cfRule>
    <cfRule type="cellIs" dxfId="5285" priority="144" operator="equal">
      <formula>7</formula>
    </cfRule>
    <cfRule type="cellIs" dxfId="5284" priority="145" operator="equal">
      <formula>1</formula>
    </cfRule>
  </conditionalFormatting>
  <conditionalFormatting sqref="K5:K36">
    <cfRule type="cellIs" dxfId="5283" priority="120" operator="equal">
      <formula>"a"</formula>
    </cfRule>
    <cfRule type="cellIs" dxfId="5282" priority="121" operator="equal">
      <formula>"k"</formula>
    </cfRule>
    <cfRule type="cellIs" dxfId="5281" priority="122" operator="equal">
      <formula>"u"</formula>
    </cfRule>
    <cfRule type="cellIs" dxfId="5280" priority="123" operator="equal">
      <formula>"f"</formula>
    </cfRule>
    <cfRule type="cellIs" dxfId="5279" priority="124" operator="equal">
      <formula>9</formula>
    </cfRule>
    <cfRule type="cellIs" dxfId="5278" priority="125" operator="equal">
      <formula>8</formula>
    </cfRule>
    <cfRule type="cellIs" dxfId="5277" priority="126" operator="equal">
      <formula>5</formula>
    </cfRule>
    <cfRule type="cellIs" dxfId="5276" priority="127" operator="equal">
      <formula>3</formula>
    </cfRule>
    <cfRule type="cellIs" dxfId="5275" priority="128" operator="equal">
      <formula>6</formula>
    </cfRule>
    <cfRule type="cellIs" dxfId="5274" priority="129" operator="equal">
      <formula>4</formula>
    </cfRule>
    <cfRule type="cellIs" dxfId="5273" priority="130" operator="equal">
      <formula>2</formula>
    </cfRule>
    <cfRule type="cellIs" dxfId="5272" priority="131" operator="equal">
      <formula>7</formula>
    </cfRule>
    <cfRule type="cellIs" dxfId="5271" priority="132" operator="equal">
      <formula>1</formula>
    </cfRule>
  </conditionalFormatting>
  <conditionalFormatting sqref="N5:N36">
    <cfRule type="cellIs" dxfId="5270" priority="107" operator="equal">
      <formula>"a"</formula>
    </cfRule>
    <cfRule type="cellIs" dxfId="5269" priority="108" operator="equal">
      <formula>"k"</formula>
    </cfRule>
    <cfRule type="cellIs" dxfId="5268" priority="109" operator="equal">
      <formula>"u"</formula>
    </cfRule>
    <cfRule type="cellIs" dxfId="5267" priority="110" operator="equal">
      <formula>"f"</formula>
    </cfRule>
    <cfRule type="cellIs" dxfId="5266" priority="111" operator="equal">
      <formula>9</formula>
    </cfRule>
    <cfRule type="cellIs" dxfId="5265" priority="112" operator="equal">
      <formula>8</formula>
    </cfRule>
    <cfRule type="cellIs" dxfId="5264" priority="113" operator="equal">
      <formula>5</formula>
    </cfRule>
    <cfRule type="cellIs" dxfId="5263" priority="114" operator="equal">
      <formula>3</formula>
    </cfRule>
    <cfRule type="cellIs" dxfId="5262" priority="115" operator="equal">
      <formula>6</formula>
    </cfRule>
    <cfRule type="cellIs" dxfId="5261" priority="116" operator="equal">
      <formula>4</formula>
    </cfRule>
    <cfRule type="cellIs" dxfId="5260" priority="117" operator="equal">
      <formula>2</formula>
    </cfRule>
    <cfRule type="cellIs" dxfId="5259" priority="118" operator="equal">
      <formula>7</formula>
    </cfRule>
    <cfRule type="cellIs" dxfId="5258" priority="119" operator="equal">
      <formula>1</formula>
    </cfRule>
  </conditionalFormatting>
  <conditionalFormatting sqref="Q5:Q36">
    <cfRule type="cellIs" dxfId="5257" priority="94" operator="equal">
      <formula>"a"</formula>
    </cfRule>
    <cfRule type="cellIs" dxfId="5256" priority="95" operator="equal">
      <formula>"k"</formula>
    </cfRule>
    <cfRule type="cellIs" dxfId="5255" priority="96" operator="equal">
      <formula>"u"</formula>
    </cfRule>
    <cfRule type="cellIs" dxfId="5254" priority="97" operator="equal">
      <formula>"f"</formula>
    </cfRule>
    <cfRule type="cellIs" dxfId="5253" priority="98" operator="equal">
      <formula>9</formula>
    </cfRule>
    <cfRule type="cellIs" dxfId="5252" priority="99" operator="equal">
      <formula>8</formula>
    </cfRule>
    <cfRule type="cellIs" dxfId="5251" priority="100" operator="equal">
      <formula>5</formula>
    </cfRule>
    <cfRule type="cellIs" dxfId="5250" priority="101" operator="equal">
      <formula>3</formula>
    </cfRule>
    <cfRule type="cellIs" dxfId="5249" priority="102" operator="equal">
      <formula>6</formula>
    </cfRule>
    <cfRule type="cellIs" dxfId="5248" priority="103" operator="equal">
      <formula>4</formula>
    </cfRule>
    <cfRule type="cellIs" dxfId="5247" priority="104" operator="equal">
      <formula>2</formula>
    </cfRule>
    <cfRule type="cellIs" dxfId="5246" priority="105" operator="equal">
      <formula>7</formula>
    </cfRule>
    <cfRule type="cellIs" dxfId="5245" priority="106" operator="equal">
      <formula>1</formula>
    </cfRule>
  </conditionalFormatting>
  <conditionalFormatting sqref="T5:T36">
    <cfRule type="cellIs" dxfId="5244" priority="81" operator="equal">
      <formula>"a"</formula>
    </cfRule>
    <cfRule type="cellIs" dxfId="5243" priority="82" operator="equal">
      <formula>"k"</formula>
    </cfRule>
    <cfRule type="cellIs" dxfId="5242" priority="83" operator="equal">
      <formula>"u"</formula>
    </cfRule>
    <cfRule type="cellIs" dxfId="5241" priority="84" operator="equal">
      <formula>"f"</formula>
    </cfRule>
    <cfRule type="cellIs" dxfId="5240" priority="85" operator="equal">
      <formula>9</formula>
    </cfRule>
    <cfRule type="cellIs" dxfId="5239" priority="86" operator="equal">
      <formula>8</formula>
    </cfRule>
    <cfRule type="cellIs" dxfId="5238" priority="87" operator="equal">
      <formula>5</formula>
    </cfRule>
    <cfRule type="cellIs" dxfId="5237" priority="88" operator="equal">
      <formula>3</formula>
    </cfRule>
    <cfRule type="cellIs" dxfId="5236" priority="89" operator="equal">
      <formula>6</formula>
    </cfRule>
    <cfRule type="cellIs" dxfId="5235" priority="90" operator="equal">
      <formula>4</formula>
    </cfRule>
    <cfRule type="cellIs" dxfId="5234" priority="91" operator="equal">
      <formula>2</formula>
    </cfRule>
    <cfRule type="cellIs" dxfId="5233" priority="92" operator="equal">
      <formula>7</formula>
    </cfRule>
    <cfRule type="cellIs" dxfId="5232" priority="93" operator="equal">
      <formula>1</formula>
    </cfRule>
  </conditionalFormatting>
  <conditionalFormatting sqref="F5:F36">
    <cfRule type="expression" dxfId="5231" priority="68">
      <formula>COUNTIF(E5,"a")</formula>
    </cfRule>
    <cfRule type="expression" dxfId="5230" priority="69">
      <formula>COUNTIF(E5,"9")</formula>
    </cfRule>
    <cfRule type="expression" dxfId="5229" priority="70">
      <formula>COUNTIF(E5,"k")</formula>
    </cfRule>
    <cfRule type="expression" dxfId="5228" priority="71">
      <formula>COUNTIF(E5,"u")</formula>
    </cfRule>
    <cfRule type="expression" dxfId="5227" priority="72">
      <formula>COUNTIF(E5,"f")</formula>
    </cfRule>
    <cfRule type="expression" dxfId="5226" priority="73">
      <formula>COUNTIF(E5,"8")</formula>
    </cfRule>
    <cfRule type="expression" dxfId="5225" priority="74">
      <formula>COUNTIF(E5,"7")</formula>
    </cfRule>
    <cfRule type="expression" dxfId="5224" priority="75">
      <formula>COUNTIF(E5,"3")</formula>
    </cfRule>
    <cfRule type="expression" dxfId="5223" priority="77">
      <formula>COUNTIF(E5,"5")</formula>
    </cfRule>
    <cfRule type="expression" dxfId="5222" priority="78">
      <formula>COUNTIF(E5,"2")</formula>
    </cfRule>
    <cfRule type="expression" dxfId="5221" priority="79">
      <formula>COUNTIF(E5,"4")</formula>
    </cfRule>
    <cfRule type="expression" dxfId="5220" priority="80">
      <formula>COUNTIF(E5,"1")</formula>
    </cfRule>
  </conditionalFormatting>
  <conditionalFormatting sqref="F5:F36">
    <cfRule type="expression" dxfId="5219" priority="76">
      <formula>COUNTIF(E5,"6")</formula>
    </cfRule>
  </conditionalFormatting>
  <conditionalFormatting sqref="I5:I36">
    <cfRule type="expression" dxfId="5218" priority="55">
      <formula>COUNTIF(H5,"a")</formula>
    </cfRule>
    <cfRule type="expression" dxfId="5217" priority="56">
      <formula>COUNTIF(H5,"9")</formula>
    </cfRule>
    <cfRule type="expression" dxfId="5216" priority="57">
      <formula>COUNTIF(H5,"k")</formula>
    </cfRule>
    <cfRule type="expression" dxfId="5215" priority="58">
      <formula>COUNTIF(H5,"u")</formula>
    </cfRule>
    <cfRule type="expression" dxfId="5214" priority="59">
      <formula>COUNTIF(H5,"f")</formula>
    </cfRule>
    <cfRule type="expression" dxfId="5213" priority="60">
      <formula>COUNTIF(H5,"8")</formula>
    </cfRule>
    <cfRule type="expression" dxfId="5212" priority="61">
      <formula>COUNTIF(H5,"7")</formula>
    </cfRule>
    <cfRule type="expression" dxfId="5211" priority="62">
      <formula>COUNTIF(H5,"3")</formula>
    </cfRule>
    <cfRule type="expression" dxfId="5210" priority="64">
      <formula>COUNTIF(H5,"5")</formula>
    </cfRule>
    <cfRule type="expression" dxfId="5209" priority="65">
      <formula>COUNTIF(H5,"2")</formula>
    </cfRule>
    <cfRule type="expression" dxfId="5208" priority="66">
      <formula>COUNTIF(H5,"4")</formula>
    </cfRule>
    <cfRule type="expression" dxfId="5207" priority="67">
      <formula>COUNTIF(H5,"1")</formula>
    </cfRule>
  </conditionalFormatting>
  <conditionalFormatting sqref="I5:I36">
    <cfRule type="expression" dxfId="5206" priority="63">
      <formula>COUNTIF(H5,"6")</formula>
    </cfRule>
  </conditionalFormatting>
  <conditionalFormatting sqref="L5:L36">
    <cfRule type="expression" dxfId="5205" priority="42">
      <formula>COUNTIF(K5,"a")</formula>
    </cfRule>
    <cfRule type="expression" dxfId="5204" priority="43">
      <formula>COUNTIF(K5,"9")</formula>
    </cfRule>
    <cfRule type="expression" dxfId="5203" priority="44">
      <formula>COUNTIF(K5,"k")</formula>
    </cfRule>
    <cfRule type="expression" dxfId="5202" priority="45">
      <formula>COUNTIF(K5,"u")</formula>
    </cfRule>
    <cfRule type="expression" dxfId="5201" priority="46">
      <formula>COUNTIF(K5,"f")</formula>
    </cfRule>
    <cfRule type="expression" dxfId="5200" priority="47">
      <formula>COUNTIF(K5,"8")</formula>
    </cfRule>
    <cfRule type="expression" dxfId="5199" priority="48">
      <formula>COUNTIF(K5,"7")</formula>
    </cfRule>
    <cfRule type="expression" dxfId="5198" priority="49">
      <formula>COUNTIF(K5,"3")</formula>
    </cfRule>
    <cfRule type="expression" dxfId="5197" priority="51">
      <formula>COUNTIF(K5,"5")</formula>
    </cfRule>
    <cfRule type="expression" dxfId="5196" priority="52">
      <formula>COUNTIF(K5,"2")</formula>
    </cfRule>
    <cfRule type="expression" dxfId="5195" priority="53">
      <formula>COUNTIF(K5,"4")</formula>
    </cfRule>
    <cfRule type="expression" dxfId="5194" priority="54">
      <formula>COUNTIF(K5,"1")</formula>
    </cfRule>
  </conditionalFormatting>
  <conditionalFormatting sqref="L5:L36">
    <cfRule type="expression" dxfId="5193" priority="50">
      <formula>COUNTIF(K5,"6")</formula>
    </cfRule>
  </conditionalFormatting>
  <conditionalFormatting sqref="O5:O36">
    <cfRule type="expression" dxfId="5192" priority="29">
      <formula>COUNTIF(N5,"a")</formula>
    </cfRule>
    <cfRule type="expression" dxfId="5191" priority="30">
      <formula>COUNTIF(N5,"9")</formula>
    </cfRule>
    <cfRule type="expression" dxfId="5190" priority="31">
      <formula>COUNTIF(N5,"k")</formula>
    </cfRule>
    <cfRule type="expression" dxfId="5189" priority="32">
      <formula>COUNTIF(N5,"u")</formula>
    </cfRule>
    <cfRule type="expression" dxfId="5188" priority="33">
      <formula>COUNTIF(N5,"f")</formula>
    </cfRule>
    <cfRule type="expression" dxfId="5187" priority="34">
      <formula>COUNTIF(N5,"8")</formula>
    </cfRule>
    <cfRule type="expression" dxfId="5186" priority="35">
      <formula>COUNTIF(N5,"7")</formula>
    </cfRule>
    <cfRule type="expression" dxfId="5185" priority="36">
      <formula>COUNTIF(N5,"3")</formula>
    </cfRule>
    <cfRule type="expression" dxfId="5184" priority="38">
      <formula>COUNTIF(N5,"5")</formula>
    </cfRule>
    <cfRule type="expression" dxfId="5183" priority="39">
      <formula>COUNTIF(N5,"2")</formula>
    </cfRule>
    <cfRule type="expression" dxfId="5182" priority="40">
      <formula>COUNTIF(N5,"4")</formula>
    </cfRule>
    <cfRule type="expression" dxfId="5181" priority="41">
      <formula>COUNTIF(N5,"1")</formula>
    </cfRule>
  </conditionalFormatting>
  <conditionalFormatting sqref="O5:O36">
    <cfRule type="expression" dxfId="5180" priority="37">
      <formula>COUNTIF(N5,"6")</formula>
    </cfRule>
  </conditionalFormatting>
  <conditionalFormatting sqref="R5:R36">
    <cfRule type="expression" dxfId="5179" priority="16">
      <formula>COUNTIF(Q5,"a")</formula>
    </cfRule>
    <cfRule type="expression" dxfId="5178" priority="17">
      <formula>COUNTIF(Q5,"9")</formula>
    </cfRule>
    <cfRule type="expression" dxfId="5177" priority="18">
      <formula>COUNTIF(Q5,"k")</formula>
    </cfRule>
    <cfRule type="expression" dxfId="5176" priority="19">
      <formula>COUNTIF(Q5,"u")</formula>
    </cfRule>
    <cfRule type="expression" dxfId="5175" priority="20">
      <formula>COUNTIF(Q5,"f")</formula>
    </cfRule>
    <cfRule type="expression" dxfId="5174" priority="21">
      <formula>COUNTIF(Q5,"8")</formula>
    </cfRule>
    <cfRule type="expression" dxfId="5173" priority="22">
      <formula>COUNTIF(Q5,"7")</formula>
    </cfRule>
    <cfRule type="expression" dxfId="5172" priority="23">
      <formula>COUNTIF(Q5,"3")</formula>
    </cfRule>
    <cfRule type="expression" dxfId="5171" priority="25">
      <formula>COUNTIF(Q5,"5")</formula>
    </cfRule>
    <cfRule type="expression" dxfId="5170" priority="26">
      <formula>COUNTIF(Q5,"2")</formula>
    </cfRule>
    <cfRule type="expression" dxfId="5169" priority="27">
      <formula>COUNTIF(Q5,"4")</formula>
    </cfRule>
    <cfRule type="expression" dxfId="5168" priority="28">
      <formula>COUNTIF(Q5,"1")</formula>
    </cfRule>
  </conditionalFormatting>
  <conditionalFormatting sqref="R5:R36">
    <cfRule type="expression" dxfId="5167" priority="24">
      <formula>COUNTIF(Q5,"6")</formula>
    </cfRule>
  </conditionalFormatting>
  <conditionalFormatting sqref="U5:U36">
    <cfRule type="expression" dxfId="5166" priority="3">
      <formula>COUNTIF(T5,"a")</formula>
    </cfRule>
    <cfRule type="expression" dxfId="5165" priority="4">
      <formula>COUNTIF(T5,"9")</formula>
    </cfRule>
    <cfRule type="expression" dxfId="5164" priority="5">
      <formula>COUNTIF(T5,"k")</formula>
    </cfRule>
    <cfRule type="expression" dxfId="5163" priority="6">
      <formula>COUNTIF(T5,"u")</formula>
    </cfRule>
    <cfRule type="expression" dxfId="5162" priority="7">
      <formula>COUNTIF(T5,"f")</formula>
    </cfRule>
    <cfRule type="expression" dxfId="5161" priority="8">
      <formula>COUNTIF(T5,"8")</formula>
    </cfRule>
    <cfRule type="expression" dxfId="5160" priority="9">
      <formula>COUNTIF(T5,"7")</formula>
    </cfRule>
    <cfRule type="expression" dxfId="5159" priority="10">
      <formula>COUNTIF(T5,"3")</formula>
    </cfRule>
    <cfRule type="expression" dxfId="5158" priority="12">
      <formula>COUNTIF(T5,"5")</formula>
    </cfRule>
    <cfRule type="expression" dxfId="5157" priority="13">
      <formula>COUNTIF(T5,"2")</formula>
    </cfRule>
    <cfRule type="expression" dxfId="5156" priority="14">
      <formula>COUNTIF(T5,"4")</formula>
    </cfRule>
    <cfRule type="expression" dxfId="5155" priority="15">
      <formula>COUNTIF(T5,"1")</formula>
    </cfRule>
  </conditionalFormatting>
  <conditionalFormatting sqref="U5:U36">
    <cfRule type="expression" dxfId="5154" priority="11">
      <formula>COUNTIF(T5,"6")</formula>
    </cfRule>
  </conditionalFormatting>
  <conditionalFormatting sqref="V32">
    <cfRule type="cellIs" dxfId="5153" priority="1" operator="lessThan">
      <formula>0</formula>
    </cfRule>
    <cfRule type="cellIs" dxfId="515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15DD21E8-9E68-2943-9EE4-CA4E6C674E65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14948-21E9-5040-AB07-4B9BDE4E6372}">
  <sheetPr codeName="Tabelle71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26</v>
      </c>
      <c r="Q1" s="176"/>
      <c r="R1" s="79">
        <f>DATE(V1,1,7*P1-3-WEEKDAY(DATE(V1,,),3))</f>
        <v>45467</v>
      </c>
      <c r="S1" s="80" t="s">
        <v>1</v>
      </c>
      <c r="T1" s="177">
        <f>DATE(V1,1,7*P1+3-WEEKDAY(DATE(V1,,),3))</f>
        <v>45473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45467</v>
      </c>
      <c r="B2" s="178"/>
      <c r="C2" s="178"/>
      <c r="D2" s="178">
        <f>A2+1</f>
        <v>45468</v>
      </c>
      <c r="E2" s="179"/>
      <c r="F2" s="179"/>
      <c r="G2" s="178">
        <f>D2+1</f>
        <v>45469</v>
      </c>
      <c r="H2" s="179"/>
      <c r="I2" s="179"/>
      <c r="J2" s="178">
        <f>G2+1</f>
        <v>45470</v>
      </c>
      <c r="K2" s="179"/>
      <c r="L2" s="179"/>
      <c r="M2" s="178">
        <f>J2+1</f>
        <v>45471</v>
      </c>
      <c r="N2" s="179"/>
      <c r="O2" s="179"/>
      <c r="P2" s="178">
        <f>M2+1</f>
        <v>45472</v>
      </c>
      <c r="Q2" s="179"/>
      <c r="R2" s="179"/>
      <c r="S2" s="178">
        <f>P2+1</f>
        <v>45473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45467</v>
      </c>
      <c r="B3" s="168"/>
      <c r="C3" s="168"/>
      <c r="D3" s="168">
        <f>A3+1</f>
        <v>45468</v>
      </c>
      <c r="E3" s="168"/>
      <c r="F3" s="168"/>
      <c r="G3" s="168">
        <f>D3+1</f>
        <v>45469</v>
      </c>
      <c r="H3" s="168"/>
      <c r="I3" s="168"/>
      <c r="J3" s="168">
        <f>G3+1</f>
        <v>45470</v>
      </c>
      <c r="K3" s="168"/>
      <c r="L3" s="168"/>
      <c r="M3" s="168">
        <f>J3+1</f>
        <v>45471</v>
      </c>
      <c r="N3" s="168"/>
      <c r="O3" s="168"/>
      <c r="P3" s="168">
        <f>M3+1</f>
        <v>45472</v>
      </c>
      <c r="Q3" s="168"/>
      <c r="R3" s="168"/>
      <c r="S3" s="168">
        <f>P3+1</f>
        <v>45473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45467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45468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45469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45470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45471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45472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45473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25'!V32</f>
        <v>-1000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-1040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151" priority="159">
      <formula>COUNTIF(B5,"a")</formula>
    </cfRule>
    <cfRule type="expression" dxfId="5150" priority="161">
      <formula>COUNTIF(B5,"9")</formula>
    </cfRule>
    <cfRule type="expression" dxfId="5149" priority="163">
      <formula>COUNTIF(B5,"k")</formula>
    </cfRule>
    <cfRule type="expression" dxfId="5148" priority="164">
      <formula>COUNTIF(B5,"u")</formula>
    </cfRule>
    <cfRule type="expression" dxfId="5147" priority="167">
      <formula>COUNTIF(B5,"f")</formula>
    </cfRule>
    <cfRule type="expression" dxfId="5146" priority="168">
      <formula>COUNTIF(B5,"8")</formula>
    </cfRule>
    <cfRule type="expression" dxfId="5145" priority="169">
      <formula>COUNTIF(B5,"7")</formula>
    </cfRule>
    <cfRule type="expression" dxfId="5144" priority="170">
      <formula>COUNTIF(B5,"3")</formula>
    </cfRule>
    <cfRule type="expression" dxfId="5143" priority="181">
      <formula>COUNTIF(B5,"5")</formula>
    </cfRule>
    <cfRule type="expression" dxfId="5142" priority="182">
      <formula>COUNTIF(B5,"2")</formula>
    </cfRule>
    <cfRule type="expression" dxfId="5141" priority="183">
      <formula>COUNTIF(B5,"4")</formula>
    </cfRule>
    <cfRule type="expression" dxfId="5140" priority="184">
      <formula>COUNTIF(B5,"1")</formula>
    </cfRule>
  </conditionalFormatting>
  <conditionalFormatting sqref="B5:B36">
    <cfRule type="cellIs" dxfId="5139" priority="160" operator="equal">
      <formula>"a"</formula>
    </cfRule>
    <cfRule type="cellIs" dxfId="5138" priority="162" operator="equal">
      <formula>"k"</formula>
    </cfRule>
    <cfRule type="cellIs" dxfId="5137" priority="165" operator="equal">
      <formula>"u"</formula>
    </cfRule>
    <cfRule type="cellIs" dxfId="5136" priority="166" operator="equal">
      <formula>"f"</formula>
    </cfRule>
    <cfRule type="cellIs" dxfId="5135" priority="171" operator="equal">
      <formula>9</formula>
    </cfRule>
    <cfRule type="cellIs" dxfId="5134" priority="172" operator="equal">
      <formula>8</formula>
    </cfRule>
    <cfRule type="cellIs" dxfId="5133" priority="173" operator="equal">
      <formula>5</formula>
    </cfRule>
    <cfRule type="cellIs" dxfId="5132" priority="174" operator="equal">
      <formula>3</formula>
    </cfRule>
    <cfRule type="cellIs" dxfId="5131" priority="176" operator="equal">
      <formula>6</formula>
    </cfRule>
    <cfRule type="cellIs" dxfId="5130" priority="177" operator="equal">
      <formula>4</formula>
    </cfRule>
    <cfRule type="cellIs" dxfId="5129" priority="178" operator="equal">
      <formula>2</formula>
    </cfRule>
    <cfRule type="cellIs" dxfId="5128" priority="179" operator="equal">
      <formula>7</formula>
    </cfRule>
    <cfRule type="cellIs" dxfId="5127" priority="180" operator="equal">
      <formula>1</formula>
    </cfRule>
  </conditionalFormatting>
  <conditionalFormatting sqref="C5:C36">
    <cfRule type="expression" dxfId="5126" priority="175">
      <formula>COUNTIF(B5,"6")</formula>
    </cfRule>
  </conditionalFormatting>
  <conditionalFormatting sqref="E5:E36">
    <cfRule type="cellIs" dxfId="5125" priority="146" operator="equal">
      <formula>"a"</formula>
    </cfRule>
    <cfRule type="cellIs" dxfId="5124" priority="147" operator="equal">
      <formula>"k"</formula>
    </cfRule>
    <cfRule type="cellIs" dxfId="5123" priority="148" operator="equal">
      <formula>"u"</formula>
    </cfRule>
    <cfRule type="cellIs" dxfId="5122" priority="149" operator="equal">
      <formula>"f"</formula>
    </cfRule>
    <cfRule type="cellIs" dxfId="5121" priority="150" operator="equal">
      <formula>9</formula>
    </cfRule>
    <cfRule type="cellIs" dxfId="5120" priority="151" operator="equal">
      <formula>8</formula>
    </cfRule>
    <cfRule type="cellIs" dxfId="5119" priority="152" operator="equal">
      <formula>5</formula>
    </cfRule>
    <cfRule type="cellIs" dxfId="5118" priority="153" operator="equal">
      <formula>3</formula>
    </cfRule>
    <cfRule type="cellIs" dxfId="5117" priority="154" operator="equal">
      <formula>6</formula>
    </cfRule>
    <cfRule type="cellIs" dxfId="5116" priority="155" operator="equal">
      <formula>4</formula>
    </cfRule>
    <cfRule type="cellIs" dxfId="5115" priority="156" operator="equal">
      <formula>2</formula>
    </cfRule>
    <cfRule type="cellIs" dxfId="5114" priority="157" operator="equal">
      <formula>7</formula>
    </cfRule>
    <cfRule type="cellIs" dxfId="5113" priority="158" operator="equal">
      <formula>1</formula>
    </cfRule>
  </conditionalFormatting>
  <conditionalFormatting sqref="H5:H36">
    <cfRule type="cellIs" dxfId="5112" priority="133" operator="equal">
      <formula>"a"</formula>
    </cfRule>
    <cfRule type="cellIs" dxfId="5111" priority="134" operator="equal">
      <formula>"k"</formula>
    </cfRule>
    <cfRule type="cellIs" dxfId="5110" priority="135" operator="equal">
      <formula>"u"</formula>
    </cfRule>
    <cfRule type="cellIs" dxfId="5109" priority="136" operator="equal">
      <formula>"f"</formula>
    </cfRule>
    <cfRule type="cellIs" dxfId="5108" priority="137" operator="equal">
      <formula>9</formula>
    </cfRule>
    <cfRule type="cellIs" dxfId="5107" priority="138" operator="equal">
      <formula>8</formula>
    </cfRule>
    <cfRule type="cellIs" dxfId="5106" priority="139" operator="equal">
      <formula>5</formula>
    </cfRule>
    <cfRule type="cellIs" dxfId="5105" priority="140" operator="equal">
      <formula>3</formula>
    </cfRule>
    <cfRule type="cellIs" dxfId="5104" priority="141" operator="equal">
      <formula>6</formula>
    </cfRule>
    <cfRule type="cellIs" dxfId="5103" priority="142" operator="equal">
      <formula>4</formula>
    </cfRule>
    <cfRule type="cellIs" dxfId="5102" priority="143" operator="equal">
      <formula>2</formula>
    </cfRule>
    <cfRule type="cellIs" dxfId="5101" priority="144" operator="equal">
      <formula>7</formula>
    </cfRule>
    <cfRule type="cellIs" dxfId="5100" priority="145" operator="equal">
      <formula>1</formula>
    </cfRule>
  </conditionalFormatting>
  <conditionalFormatting sqref="K5:K36">
    <cfRule type="cellIs" dxfId="5099" priority="120" operator="equal">
      <formula>"a"</formula>
    </cfRule>
    <cfRule type="cellIs" dxfId="5098" priority="121" operator="equal">
      <formula>"k"</formula>
    </cfRule>
    <cfRule type="cellIs" dxfId="5097" priority="122" operator="equal">
      <formula>"u"</formula>
    </cfRule>
    <cfRule type="cellIs" dxfId="5096" priority="123" operator="equal">
      <formula>"f"</formula>
    </cfRule>
    <cfRule type="cellIs" dxfId="5095" priority="124" operator="equal">
      <formula>9</formula>
    </cfRule>
    <cfRule type="cellIs" dxfId="5094" priority="125" operator="equal">
      <formula>8</formula>
    </cfRule>
    <cfRule type="cellIs" dxfId="5093" priority="126" operator="equal">
      <formula>5</formula>
    </cfRule>
    <cfRule type="cellIs" dxfId="5092" priority="127" operator="equal">
      <formula>3</formula>
    </cfRule>
    <cfRule type="cellIs" dxfId="5091" priority="128" operator="equal">
      <formula>6</formula>
    </cfRule>
    <cfRule type="cellIs" dxfId="5090" priority="129" operator="equal">
      <formula>4</formula>
    </cfRule>
    <cfRule type="cellIs" dxfId="5089" priority="130" operator="equal">
      <formula>2</formula>
    </cfRule>
    <cfRule type="cellIs" dxfId="5088" priority="131" operator="equal">
      <formula>7</formula>
    </cfRule>
    <cfRule type="cellIs" dxfId="5087" priority="132" operator="equal">
      <formula>1</formula>
    </cfRule>
  </conditionalFormatting>
  <conditionalFormatting sqref="N5:N36">
    <cfRule type="cellIs" dxfId="5086" priority="107" operator="equal">
      <formula>"a"</formula>
    </cfRule>
    <cfRule type="cellIs" dxfId="5085" priority="108" operator="equal">
      <formula>"k"</formula>
    </cfRule>
    <cfRule type="cellIs" dxfId="5084" priority="109" operator="equal">
      <formula>"u"</formula>
    </cfRule>
    <cfRule type="cellIs" dxfId="5083" priority="110" operator="equal">
      <formula>"f"</formula>
    </cfRule>
    <cfRule type="cellIs" dxfId="5082" priority="111" operator="equal">
      <formula>9</formula>
    </cfRule>
    <cfRule type="cellIs" dxfId="5081" priority="112" operator="equal">
      <formula>8</formula>
    </cfRule>
    <cfRule type="cellIs" dxfId="5080" priority="113" operator="equal">
      <formula>5</formula>
    </cfRule>
    <cfRule type="cellIs" dxfId="5079" priority="114" operator="equal">
      <formula>3</formula>
    </cfRule>
    <cfRule type="cellIs" dxfId="5078" priority="115" operator="equal">
      <formula>6</formula>
    </cfRule>
    <cfRule type="cellIs" dxfId="5077" priority="116" operator="equal">
      <formula>4</formula>
    </cfRule>
    <cfRule type="cellIs" dxfId="5076" priority="117" operator="equal">
      <formula>2</formula>
    </cfRule>
    <cfRule type="cellIs" dxfId="5075" priority="118" operator="equal">
      <formula>7</formula>
    </cfRule>
    <cfRule type="cellIs" dxfId="5074" priority="119" operator="equal">
      <formula>1</formula>
    </cfRule>
  </conditionalFormatting>
  <conditionalFormatting sqref="Q5:Q36">
    <cfRule type="cellIs" dxfId="5073" priority="94" operator="equal">
      <formula>"a"</formula>
    </cfRule>
    <cfRule type="cellIs" dxfId="5072" priority="95" operator="equal">
      <formula>"k"</formula>
    </cfRule>
    <cfRule type="cellIs" dxfId="5071" priority="96" operator="equal">
      <formula>"u"</formula>
    </cfRule>
    <cfRule type="cellIs" dxfId="5070" priority="97" operator="equal">
      <formula>"f"</formula>
    </cfRule>
    <cfRule type="cellIs" dxfId="5069" priority="98" operator="equal">
      <formula>9</formula>
    </cfRule>
    <cfRule type="cellIs" dxfId="5068" priority="99" operator="equal">
      <formula>8</formula>
    </cfRule>
    <cfRule type="cellIs" dxfId="5067" priority="100" operator="equal">
      <formula>5</formula>
    </cfRule>
    <cfRule type="cellIs" dxfId="5066" priority="101" operator="equal">
      <formula>3</formula>
    </cfRule>
    <cfRule type="cellIs" dxfId="5065" priority="102" operator="equal">
      <formula>6</formula>
    </cfRule>
    <cfRule type="cellIs" dxfId="5064" priority="103" operator="equal">
      <formula>4</formula>
    </cfRule>
    <cfRule type="cellIs" dxfId="5063" priority="104" operator="equal">
      <formula>2</formula>
    </cfRule>
    <cfRule type="cellIs" dxfId="5062" priority="105" operator="equal">
      <formula>7</formula>
    </cfRule>
    <cfRule type="cellIs" dxfId="5061" priority="106" operator="equal">
      <formula>1</formula>
    </cfRule>
  </conditionalFormatting>
  <conditionalFormatting sqref="T5:T36">
    <cfRule type="cellIs" dxfId="5060" priority="81" operator="equal">
      <formula>"a"</formula>
    </cfRule>
    <cfRule type="cellIs" dxfId="5059" priority="82" operator="equal">
      <formula>"k"</formula>
    </cfRule>
    <cfRule type="cellIs" dxfId="5058" priority="83" operator="equal">
      <formula>"u"</formula>
    </cfRule>
    <cfRule type="cellIs" dxfId="5057" priority="84" operator="equal">
      <formula>"f"</formula>
    </cfRule>
    <cfRule type="cellIs" dxfId="5056" priority="85" operator="equal">
      <formula>9</formula>
    </cfRule>
    <cfRule type="cellIs" dxfId="5055" priority="86" operator="equal">
      <formula>8</formula>
    </cfRule>
    <cfRule type="cellIs" dxfId="5054" priority="87" operator="equal">
      <formula>5</formula>
    </cfRule>
    <cfRule type="cellIs" dxfId="5053" priority="88" operator="equal">
      <formula>3</formula>
    </cfRule>
    <cfRule type="cellIs" dxfId="5052" priority="89" operator="equal">
      <formula>6</formula>
    </cfRule>
    <cfRule type="cellIs" dxfId="5051" priority="90" operator="equal">
      <formula>4</formula>
    </cfRule>
    <cfRule type="cellIs" dxfId="5050" priority="91" operator="equal">
      <formula>2</formula>
    </cfRule>
    <cfRule type="cellIs" dxfId="5049" priority="92" operator="equal">
      <formula>7</formula>
    </cfRule>
    <cfRule type="cellIs" dxfId="5048" priority="93" operator="equal">
      <formula>1</formula>
    </cfRule>
  </conditionalFormatting>
  <conditionalFormatting sqref="F5:F36">
    <cfRule type="expression" dxfId="5047" priority="68">
      <formula>COUNTIF(E5,"a")</formula>
    </cfRule>
    <cfRule type="expression" dxfId="5046" priority="69">
      <formula>COUNTIF(E5,"9")</formula>
    </cfRule>
    <cfRule type="expression" dxfId="5045" priority="70">
      <formula>COUNTIF(E5,"k")</formula>
    </cfRule>
    <cfRule type="expression" dxfId="5044" priority="71">
      <formula>COUNTIF(E5,"u")</formula>
    </cfRule>
    <cfRule type="expression" dxfId="5043" priority="72">
      <formula>COUNTIF(E5,"f")</formula>
    </cfRule>
    <cfRule type="expression" dxfId="5042" priority="73">
      <formula>COUNTIF(E5,"8")</formula>
    </cfRule>
    <cfRule type="expression" dxfId="5041" priority="74">
      <formula>COUNTIF(E5,"7")</formula>
    </cfRule>
    <cfRule type="expression" dxfId="5040" priority="75">
      <formula>COUNTIF(E5,"3")</formula>
    </cfRule>
    <cfRule type="expression" dxfId="5039" priority="77">
      <formula>COUNTIF(E5,"5")</formula>
    </cfRule>
    <cfRule type="expression" dxfId="5038" priority="78">
      <formula>COUNTIF(E5,"2")</formula>
    </cfRule>
    <cfRule type="expression" dxfId="5037" priority="79">
      <formula>COUNTIF(E5,"4")</formula>
    </cfRule>
    <cfRule type="expression" dxfId="5036" priority="80">
      <formula>COUNTIF(E5,"1")</formula>
    </cfRule>
  </conditionalFormatting>
  <conditionalFormatting sqref="F5:F36">
    <cfRule type="expression" dxfId="5035" priority="76">
      <formula>COUNTIF(E5,"6")</formula>
    </cfRule>
  </conditionalFormatting>
  <conditionalFormatting sqref="I5:I36">
    <cfRule type="expression" dxfId="5034" priority="55">
      <formula>COUNTIF(H5,"a")</formula>
    </cfRule>
    <cfRule type="expression" dxfId="5033" priority="56">
      <formula>COUNTIF(H5,"9")</formula>
    </cfRule>
    <cfRule type="expression" dxfId="5032" priority="57">
      <formula>COUNTIF(H5,"k")</formula>
    </cfRule>
    <cfRule type="expression" dxfId="5031" priority="58">
      <formula>COUNTIF(H5,"u")</formula>
    </cfRule>
    <cfRule type="expression" dxfId="5030" priority="59">
      <formula>COUNTIF(H5,"f")</formula>
    </cfRule>
    <cfRule type="expression" dxfId="5029" priority="60">
      <formula>COUNTIF(H5,"8")</formula>
    </cfRule>
    <cfRule type="expression" dxfId="5028" priority="61">
      <formula>COUNTIF(H5,"7")</formula>
    </cfRule>
    <cfRule type="expression" dxfId="5027" priority="62">
      <formula>COUNTIF(H5,"3")</formula>
    </cfRule>
    <cfRule type="expression" dxfId="5026" priority="64">
      <formula>COUNTIF(H5,"5")</formula>
    </cfRule>
    <cfRule type="expression" dxfId="5025" priority="65">
      <formula>COUNTIF(H5,"2")</formula>
    </cfRule>
    <cfRule type="expression" dxfId="5024" priority="66">
      <formula>COUNTIF(H5,"4")</formula>
    </cfRule>
    <cfRule type="expression" dxfId="5023" priority="67">
      <formula>COUNTIF(H5,"1")</formula>
    </cfRule>
  </conditionalFormatting>
  <conditionalFormatting sqref="I5:I36">
    <cfRule type="expression" dxfId="5022" priority="63">
      <formula>COUNTIF(H5,"6")</formula>
    </cfRule>
  </conditionalFormatting>
  <conditionalFormatting sqref="L5:L36">
    <cfRule type="expression" dxfId="5021" priority="42">
      <formula>COUNTIF(K5,"a")</formula>
    </cfRule>
    <cfRule type="expression" dxfId="5020" priority="43">
      <formula>COUNTIF(K5,"9")</formula>
    </cfRule>
    <cfRule type="expression" dxfId="5019" priority="44">
      <formula>COUNTIF(K5,"k")</formula>
    </cfRule>
    <cfRule type="expression" dxfId="5018" priority="45">
      <formula>COUNTIF(K5,"u")</formula>
    </cfRule>
    <cfRule type="expression" dxfId="5017" priority="46">
      <formula>COUNTIF(K5,"f")</formula>
    </cfRule>
    <cfRule type="expression" dxfId="5016" priority="47">
      <formula>COUNTIF(K5,"8")</formula>
    </cfRule>
    <cfRule type="expression" dxfId="5015" priority="48">
      <formula>COUNTIF(K5,"7")</formula>
    </cfRule>
    <cfRule type="expression" dxfId="5014" priority="49">
      <formula>COUNTIF(K5,"3")</formula>
    </cfRule>
    <cfRule type="expression" dxfId="5013" priority="51">
      <formula>COUNTIF(K5,"5")</formula>
    </cfRule>
    <cfRule type="expression" dxfId="5012" priority="52">
      <formula>COUNTIF(K5,"2")</formula>
    </cfRule>
    <cfRule type="expression" dxfId="5011" priority="53">
      <formula>COUNTIF(K5,"4")</formula>
    </cfRule>
    <cfRule type="expression" dxfId="5010" priority="54">
      <formula>COUNTIF(K5,"1")</formula>
    </cfRule>
  </conditionalFormatting>
  <conditionalFormatting sqref="L5:L36">
    <cfRule type="expression" dxfId="5009" priority="50">
      <formula>COUNTIF(K5,"6")</formula>
    </cfRule>
  </conditionalFormatting>
  <conditionalFormatting sqref="O5:O36">
    <cfRule type="expression" dxfId="5008" priority="29">
      <formula>COUNTIF(N5,"a")</formula>
    </cfRule>
    <cfRule type="expression" dxfId="5007" priority="30">
      <formula>COUNTIF(N5,"9")</formula>
    </cfRule>
    <cfRule type="expression" dxfId="5006" priority="31">
      <formula>COUNTIF(N5,"k")</formula>
    </cfRule>
    <cfRule type="expression" dxfId="5005" priority="32">
      <formula>COUNTIF(N5,"u")</formula>
    </cfRule>
    <cfRule type="expression" dxfId="5004" priority="33">
      <formula>COUNTIF(N5,"f")</formula>
    </cfRule>
    <cfRule type="expression" dxfId="5003" priority="34">
      <formula>COUNTIF(N5,"8")</formula>
    </cfRule>
    <cfRule type="expression" dxfId="5002" priority="35">
      <formula>COUNTIF(N5,"7")</formula>
    </cfRule>
    <cfRule type="expression" dxfId="5001" priority="36">
      <formula>COUNTIF(N5,"3")</formula>
    </cfRule>
    <cfRule type="expression" dxfId="5000" priority="38">
      <formula>COUNTIF(N5,"5")</formula>
    </cfRule>
    <cfRule type="expression" dxfId="4999" priority="39">
      <formula>COUNTIF(N5,"2")</formula>
    </cfRule>
    <cfRule type="expression" dxfId="4998" priority="40">
      <formula>COUNTIF(N5,"4")</formula>
    </cfRule>
    <cfRule type="expression" dxfId="4997" priority="41">
      <formula>COUNTIF(N5,"1")</formula>
    </cfRule>
  </conditionalFormatting>
  <conditionalFormatting sqref="O5:O36">
    <cfRule type="expression" dxfId="4996" priority="37">
      <formula>COUNTIF(N5,"6")</formula>
    </cfRule>
  </conditionalFormatting>
  <conditionalFormatting sqref="R5:R36">
    <cfRule type="expression" dxfId="4995" priority="16">
      <formula>COUNTIF(Q5,"a")</formula>
    </cfRule>
    <cfRule type="expression" dxfId="4994" priority="17">
      <formula>COUNTIF(Q5,"9")</formula>
    </cfRule>
    <cfRule type="expression" dxfId="4993" priority="18">
      <formula>COUNTIF(Q5,"k")</formula>
    </cfRule>
    <cfRule type="expression" dxfId="4992" priority="19">
      <formula>COUNTIF(Q5,"u")</formula>
    </cfRule>
    <cfRule type="expression" dxfId="4991" priority="20">
      <formula>COUNTIF(Q5,"f")</formula>
    </cfRule>
    <cfRule type="expression" dxfId="4990" priority="21">
      <formula>COUNTIF(Q5,"8")</formula>
    </cfRule>
    <cfRule type="expression" dxfId="4989" priority="22">
      <formula>COUNTIF(Q5,"7")</formula>
    </cfRule>
    <cfRule type="expression" dxfId="4988" priority="23">
      <formula>COUNTIF(Q5,"3")</formula>
    </cfRule>
    <cfRule type="expression" dxfId="4987" priority="25">
      <formula>COUNTIF(Q5,"5")</formula>
    </cfRule>
    <cfRule type="expression" dxfId="4986" priority="26">
      <formula>COUNTIF(Q5,"2")</formula>
    </cfRule>
    <cfRule type="expression" dxfId="4985" priority="27">
      <formula>COUNTIF(Q5,"4")</formula>
    </cfRule>
    <cfRule type="expression" dxfId="4984" priority="28">
      <formula>COUNTIF(Q5,"1")</formula>
    </cfRule>
  </conditionalFormatting>
  <conditionalFormatting sqref="R5:R36">
    <cfRule type="expression" dxfId="4983" priority="24">
      <formula>COUNTIF(Q5,"6")</formula>
    </cfRule>
  </conditionalFormatting>
  <conditionalFormatting sqref="U5:U36">
    <cfRule type="expression" dxfId="4982" priority="3">
      <formula>COUNTIF(T5,"a")</formula>
    </cfRule>
    <cfRule type="expression" dxfId="4981" priority="4">
      <formula>COUNTIF(T5,"9")</formula>
    </cfRule>
    <cfRule type="expression" dxfId="4980" priority="5">
      <formula>COUNTIF(T5,"k")</formula>
    </cfRule>
    <cfRule type="expression" dxfId="4979" priority="6">
      <formula>COUNTIF(T5,"u")</formula>
    </cfRule>
    <cfRule type="expression" dxfId="4978" priority="7">
      <formula>COUNTIF(T5,"f")</formula>
    </cfRule>
    <cfRule type="expression" dxfId="4977" priority="8">
      <formula>COUNTIF(T5,"8")</formula>
    </cfRule>
    <cfRule type="expression" dxfId="4976" priority="9">
      <formula>COUNTIF(T5,"7")</formula>
    </cfRule>
    <cfRule type="expression" dxfId="4975" priority="10">
      <formula>COUNTIF(T5,"3")</formula>
    </cfRule>
    <cfRule type="expression" dxfId="4974" priority="12">
      <formula>COUNTIF(T5,"5")</formula>
    </cfRule>
    <cfRule type="expression" dxfId="4973" priority="13">
      <formula>COUNTIF(T5,"2")</formula>
    </cfRule>
    <cfRule type="expression" dxfId="4972" priority="14">
      <formula>COUNTIF(T5,"4")</formula>
    </cfRule>
    <cfRule type="expression" dxfId="4971" priority="15">
      <formula>COUNTIF(T5,"1")</formula>
    </cfRule>
  </conditionalFormatting>
  <conditionalFormatting sqref="U5:U36">
    <cfRule type="expression" dxfId="4970" priority="11">
      <formula>COUNTIF(T5,"6")</formula>
    </cfRule>
  </conditionalFormatting>
  <conditionalFormatting sqref="V32">
    <cfRule type="cellIs" dxfId="4969" priority="1" operator="lessThan">
      <formula>0</formula>
    </cfRule>
    <cfRule type="cellIs" dxfId="496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12C03092-76BC-DE45-855E-E0332DBBBAEE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D12DB-93D2-2B43-9947-7FE6F8429FD0}">
  <sheetPr codeName="Tabelle72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27</v>
      </c>
      <c r="Q1" s="176"/>
      <c r="R1" s="79">
        <f>DATE(V1,1,7*P1-3-WEEKDAY(DATE(V1,,),3))</f>
        <v>45474</v>
      </c>
      <c r="S1" s="80" t="s">
        <v>1</v>
      </c>
      <c r="T1" s="177">
        <f>DATE(V1,1,7*P1+3-WEEKDAY(DATE(V1,,),3))</f>
        <v>45480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45474</v>
      </c>
      <c r="B2" s="178"/>
      <c r="C2" s="178"/>
      <c r="D2" s="178">
        <f>A2+1</f>
        <v>45475</v>
      </c>
      <c r="E2" s="179"/>
      <c r="F2" s="179"/>
      <c r="G2" s="178">
        <f>D2+1</f>
        <v>45476</v>
      </c>
      <c r="H2" s="179"/>
      <c r="I2" s="179"/>
      <c r="J2" s="178">
        <f>G2+1</f>
        <v>45477</v>
      </c>
      <c r="K2" s="179"/>
      <c r="L2" s="179"/>
      <c r="M2" s="178">
        <f>J2+1</f>
        <v>45478</v>
      </c>
      <c r="N2" s="179"/>
      <c r="O2" s="179"/>
      <c r="P2" s="178">
        <f>M2+1</f>
        <v>45479</v>
      </c>
      <c r="Q2" s="179"/>
      <c r="R2" s="179"/>
      <c r="S2" s="178">
        <f>P2+1</f>
        <v>45480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45474</v>
      </c>
      <c r="B3" s="168"/>
      <c r="C3" s="168"/>
      <c r="D3" s="168">
        <f>A3+1</f>
        <v>45475</v>
      </c>
      <c r="E3" s="168"/>
      <c r="F3" s="168"/>
      <c r="G3" s="168">
        <f>D3+1</f>
        <v>45476</v>
      </c>
      <c r="H3" s="168"/>
      <c r="I3" s="168"/>
      <c r="J3" s="168">
        <f>G3+1</f>
        <v>45477</v>
      </c>
      <c r="K3" s="168"/>
      <c r="L3" s="168"/>
      <c r="M3" s="168">
        <f>J3+1</f>
        <v>45478</v>
      </c>
      <c r="N3" s="168"/>
      <c r="O3" s="168"/>
      <c r="P3" s="168">
        <f>M3+1</f>
        <v>45479</v>
      </c>
      <c r="Q3" s="168"/>
      <c r="R3" s="168"/>
      <c r="S3" s="168">
        <f>P3+1</f>
        <v>45480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45474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45475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45476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45477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45478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45479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45480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26'!V32</f>
        <v>-1040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-1080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967" priority="159">
      <formula>COUNTIF(B5,"a")</formula>
    </cfRule>
    <cfRule type="expression" dxfId="4966" priority="161">
      <formula>COUNTIF(B5,"9")</formula>
    </cfRule>
    <cfRule type="expression" dxfId="4965" priority="163">
      <formula>COUNTIF(B5,"k")</formula>
    </cfRule>
    <cfRule type="expression" dxfId="4964" priority="164">
      <formula>COUNTIF(B5,"u")</formula>
    </cfRule>
    <cfRule type="expression" dxfId="4963" priority="167">
      <formula>COUNTIF(B5,"f")</formula>
    </cfRule>
    <cfRule type="expression" dxfId="4962" priority="168">
      <formula>COUNTIF(B5,"8")</formula>
    </cfRule>
    <cfRule type="expression" dxfId="4961" priority="169">
      <formula>COUNTIF(B5,"7")</formula>
    </cfRule>
    <cfRule type="expression" dxfId="4960" priority="170">
      <formula>COUNTIF(B5,"3")</formula>
    </cfRule>
    <cfRule type="expression" dxfId="4959" priority="181">
      <formula>COUNTIF(B5,"5")</formula>
    </cfRule>
    <cfRule type="expression" dxfId="4958" priority="182">
      <formula>COUNTIF(B5,"2")</formula>
    </cfRule>
    <cfRule type="expression" dxfId="4957" priority="183">
      <formula>COUNTIF(B5,"4")</formula>
    </cfRule>
    <cfRule type="expression" dxfId="4956" priority="184">
      <formula>COUNTIF(B5,"1")</formula>
    </cfRule>
  </conditionalFormatting>
  <conditionalFormatting sqref="B5:B36">
    <cfRule type="cellIs" dxfId="4955" priority="160" operator="equal">
      <formula>"a"</formula>
    </cfRule>
    <cfRule type="cellIs" dxfId="4954" priority="162" operator="equal">
      <formula>"k"</formula>
    </cfRule>
    <cfRule type="cellIs" dxfId="4953" priority="165" operator="equal">
      <formula>"u"</formula>
    </cfRule>
    <cfRule type="cellIs" dxfId="4952" priority="166" operator="equal">
      <formula>"f"</formula>
    </cfRule>
    <cfRule type="cellIs" dxfId="4951" priority="171" operator="equal">
      <formula>9</formula>
    </cfRule>
    <cfRule type="cellIs" dxfId="4950" priority="172" operator="equal">
      <formula>8</formula>
    </cfRule>
    <cfRule type="cellIs" dxfId="4949" priority="173" operator="equal">
      <formula>5</formula>
    </cfRule>
    <cfRule type="cellIs" dxfId="4948" priority="174" operator="equal">
      <formula>3</formula>
    </cfRule>
    <cfRule type="cellIs" dxfId="4947" priority="176" operator="equal">
      <formula>6</formula>
    </cfRule>
    <cfRule type="cellIs" dxfId="4946" priority="177" operator="equal">
      <formula>4</formula>
    </cfRule>
    <cfRule type="cellIs" dxfId="4945" priority="178" operator="equal">
      <formula>2</formula>
    </cfRule>
    <cfRule type="cellIs" dxfId="4944" priority="179" operator="equal">
      <formula>7</formula>
    </cfRule>
    <cfRule type="cellIs" dxfId="4943" priority="180" operator="equal">
      <formula>1</formula>
    </cfRule>
  </conditionalFormatting>
  <conditionalFormatting sqref="C5:C36">
    <cfRule type="expression" dxfId="4942" priority="175">
      <formula>COUNTIF(B5,"6")</formula>
    </cfRule>
  </conditionalFormatting>
  <conditionalFormatting sqref="E5:E36">
    <cfRule type="cellIs" dxfId="4941" priority="146" operator="equal">
      <formula>"a"</formula>
    </cfRule>
    <cfRule type="cellIs" dxfId="4940" priority="147" operator="equal">
      <formula>"k"</formula>
    </cfRule>
    <cfRule type="cellIs" dxfId="4939" priority="148" operator="equal">
      <formula>"u"</formula>
    </cfRule>
    <cfRule type="cellIs" dxfId="4938" priority="149" operator="equal">
      <formula>"f"</formula>
    </cfRule>
    <cfRule type="cellIs" dxfId="4937" priority="150" operator="equal">
      <formula>9</formula>
    </cfRule>
    <cfRule type="cellIs" dxfId="4936" priority="151" operator="equal">
      <formula>8</formula>
    </cfRule>
    <cfRule type="cellIs" dxfId="4935" priority="152" operator="equal">
      <formula>5</formula>
    </cfRule>
    <cfRule type="cellIs" dxfId="4934" priority="153" operator="equal">
      <formula>3</formula>
    </cfRule>
    <cfRule type="cellIs" dxfId="4933" priority="154" operator="equal">
      <formula>6</formula>
    </cfRule>
    <cfRule type="cellIs" dxfId="4932" priority="155" operator="equal">
      <formula>4</formula>
    </cfRule>
    <cfRule type="cellIs" dxfId="4931" priority="156" operator="equal">
      <formula>2</formula>
    </cfRule>
    <cfRule type="cellIs" dxfId="4930" priority="157" operator="equal">
      <formula>7</formula>
    </cfRule>
    <cfRule type="cellIs" dxfId="4929" priority="158" operator="equal">
      <formula>1</formula>
    </cfRule>
  </conditionalFormatting>
  <conditionalFormatting sqref="H5:H36">
    <cfRule type="cellIs" dxfId="4928" priority="133" operator="equal">
      <formula>"a"</formula>
    </cfRule>
    <cfRule type="cellIs" dxfId="4927" priority="134" operator="equal">
      <formula>"k"</formula>
    </cfRule>
    <cfRule type="cellIs" dxfId="4926" priority="135" operator="equal">
      <formula>"u"</formula>
    </cfRule>
    <cfRule type="cellIs" dxfId="4925" priority="136" operator="equal">
      <formula>"f"</formula>
    </cfRule>
    <cfRule type="cellIs" dxfId="4924" priority="137" operator="equal">
      <formula>9</formula>
    </cfRule>
    <cfRule type="cellIs" dxfId="4923" priority="138" operator="equal">
      <formula>8</formula>
    </cfRule>
    <cfRule type="cellIs" dxfId="4922" priority="139" operator="equal">
      <formula>5</formula>
    </cfRule>
    <cfRule type="cellIs" dxfId="4921" priority="140" operator="equal">
      <formula>3</formula>
    </cfRule>
    <cfRule type="cellIs" dxfId="4920" priority="141" operator="equal">
      <formula>6</formula>
    </cfRule>
    <cfRule type="cellIs" dxfId="4919" priority="142" operator="equal">
      <formula>4</formula>
    </cfRule>
    <cfRule type="cellIs" dxfId="4918" priority="143" operator="equal">
      <formula>2</formula>
    </cfRule>
    <cfRule type="cellIs" dxfId="4917" priority="144" operator="equal">
      <formula>7</formula>
    </cfRule>
    <cfRule type="cellIs" dxfId="4916" priority="145" operator="equal">
      <formula>1</formula>
    </cfRule>
  </conditionalFormatting>
  <conditionalFormatting sqref="K5:K36">
    <cfRule type="cellIs" dxfId="4915" priority="120" operator="equal">
      <formula>"a"</formula>
    </cfRule>
    <cfRule type="cellIs" dxfId="4914" priority="121" operator="equal">
      <formula>"k"</formula>
    </cfRule>
    <cfRule type="cellIs" dxfId="4913" priority="122" operator="equal">
      <formula>"u"</formula>
    </cfRule>
    <cfRule type="cellIs" dxfId="4912" priority="123" operator="equal">
      <formula>"f"</formula>
    </cfRule>
    <cfRule type="cellIs" dxfId="4911" priority="124" operator="equal">
      <formula>9</formula>
    </cfRule>
    <cfRule type="cellIs" dxfId="4910" priority="125" operator="equal">
      <formula>8</formula>
    </cfRule>
    <cfRule type="cellIs" dxfId="4909" priority="126" operator="equal">
      <formula>5</formula>
    </cfRule>
    <cfRule type="cellIs" dxfId="4908" priority="127" operator="equal">
      <formula>3</formula>
    </cfRule>
    <cfRule type="cellIs" dxfId="4907" priority="128" operator="equal">
      <formula>6</formula>
    </cfRule>
    <cfRule type="cellIs" dxfId="4906" priority="129" operator="equal">
      <formula>4</formula>
    </cfRule>
    <cfRule type="cellIs" dxfId="4905" priority="130" operator="equal">
      <formula>2</formula>
    </cfRule>
    <cfRule type="cellIs" dxfId="4904" priority="131" operator="equal">
      <formula>7</formula>
    </cfRule>
    <cfRule type="cellIs" dxfId="4903" priority="132" operator="equal">
      <formula>1</formula>
    </cfRule>
  </conditionalFormatting>
  <conditionalFormatting sqref="N5:N36">
    <cfRule type="cellIs" dxfId="4902" priority="107" operator="equal">
      <formula>"a"</formula>
    </cfRule>
    <cfRule type="cellIs" dxfId="4901" priority="108" operator="equal">
      <formula>"k"</formula>
    </cfRule>
    <cfRule type="cellIs" dxfId="4900" priority="109" operator="equal">
      <formula>"u"</formula>
    </cfRule>
    <cfRule type="cellIs" dxfId="4899" priority="110" operator="equal">
      <formula>"f"</formula>
    </cfRule>
    <cfRule type="cellIs" dxfId="4898" priority="111" operator="equal">
      <formula>9</formula>
    </cfRule>
    <cfRule type="cellIs" dxfId="4897" priority="112" operator="equal">
      <formula>8</formula>
    </cfRule>
    <cfRule type="cellIs" dxfId="4896" priority="113" operator="equal">
      <formula>5</formula>
    </cfRule>
    <cfRule type="cellIs" dxfId="4895" priority="114" operator="equal">
      <formula>3</formula>
    </cfRule>
    <cfRule type="cellIs" dxfId="4894" priority="115" operator="equal">
      <formula>6</formula>
    </cfRule>
    <cfRule type="cellIs" dxfId="4893" priority="116" operator="equal">
      <formula>4</formula>
    </cfRule>
    <cfRule type="cellIs" dxfId="4892" priority="117" operator="equal">
      <formula>2</formula>
    </cfRule>
    <cfRule type="cellIs" dxfId="4891" priority="118" operator="equal">
      <formula>7</formula>
    </cfRule>
    <cfRule type="cellIs" dxfId="4890" priority="119" operator="equal">
      <formula>1</formula>
    </cfRule>
  </conditionalFormatting>
  <conditionalFormatting sqref="Q5:Q36">
    <cfRule type="cellIs" dxfId="4889" priority="94" operator="equal">
      <formula>"a"</formula>
    </cfRule>
    <cfRule type="cellIs" dxfId="4888" priority="95" operator="equal">
      <formula>"k"</formula>
    </cfRule>
    <cfRule type="cellIs" dxfId="4887" priority="96" operator="equal">
      <formula>"u"</formula>
    </cfRule>
    <cfRule type="cellIs" dxfId="4886" priority="97" operator="equal">
      <formula>"f"</formula>
    </cfRule>
    <cfRule type="cellIs" dxfId="4885" priority="98" operator="equal">
      <formula>9</formula>
    </cfRule>
    <cfRule type="cellIs" dxfId="4884" priority="99" operator="equal">
      <formula>8</formula>
    </cfRule>
    <cfRule type="cellIs" dxfId="4883" priority="100" operator="equal">
      <formula>5</formula>
    </cfRule>
    <cfRule type="cellIs" dxfId="4882" priority="101" operator="equal">
      <formula>3</formula>
    </cfRule>
    <cfRule type="cellIs" dxfId="4881" priority="102" operator="equal">
      <formula>6</formula>
    </cfRule>
    <cfRule type="cellIs" dxfId="4880" priority="103" operator="equal">
      <formula>4</formula>
    </cfRule>
    <cfRule type="cellIs" dxfId="4879" priority="104" operator="equal">
      <formula>2</formula>
    </cfRule>
    <cfRule type="cellIs" dxfId="4878" priority="105" operator="equal">
      <formula>7</formula>
    </cfRule>
    <cfRule type="cellIs" dxfId="4877" priority="106" operator="equal">
      <formula>1</formula>
    </cfRule>
  </conditionalFormatting>
  <conditionalFormatting sqref="T5:T36">
    <cfRule type="cellIs" dxfId="4876" priority="81" operator="equal">
      <formula>"a"</formula>
    </cfRule>
    <cfRule type="cellIs" dxfId="4875" priority="82" operator="equal">
      <formula>"k"</formula>
    </cfRule>
    <cfRule type="cellIs" dxfId="4874" priority="83" operator="equal">
      <formula>"u"</formula>
    </cfRule>
    <cfRule type="cellIs" dxfId="4873" priority="84" operator="equal">
      <formula>"f"</formula>
    </cfRule>
    <cfRule type="cellIs" dxfId="4872" priority="85" operator="equal">
      <formula>9</formula>
    </cfRule>
    <cfRule type="cellIs" dxfId="4871" priority="86" operator="equal">
      <formula>8</formula>
    </cfRule>
    <cfRule type="cellIs" dxfId="4870" priority="87" operator="equal">
      <formula>5</formula>
    </cfRule>
    <cfRule type="cellIs" dxfId="4869" priority="88" operator="equal">
      <formula>3</formula>
    </cfRule>
    <cfRule type="cellIs" dxfId="4868" priority="89" operator="equal">
      <formula>6</formula>
    </cfRule>
    <cfRule type="cellIs" dxfId="4867" priority="90" operator="equal">
      <formula>4</formula>
    </cfRule>
    <cfRule type="cellIs" dxfId="4866" priority="91" operator="equal">
      <formula>2</formula>
    </cfRule>
    <cfRule type="cellIs" dxfId="4865" priority="92" operator="equal">
      <formula>7</formula>
    </cfRule>
    <cfRule type="cellIs" dxfId="4864" priority="93" operator="equal">
      <formula>1</formula>
    </cfRule>
  </conditionalFormatting>
  <conditionalFormatting sqref="F5:F36">
    <cfRule type="expression" dxfId="4863" priority="68">
      <formula>COUNTIF(E5,"a")</formula>
    </cfRule>
    <cfRule type="expression" dxfId="4862" priority="69">
      <formula>COUNTIF(E5,"9")</formula>
    </cfRule>
    <cfRule type="expression" dxfId="4861" priority="70">
      <formula>COUNTIF(E5,"k")</formula>
    </cfRule>
    <cfRule type="expression" dxfId="4860" priority="71">
      <formula>COUNTIF(E5,"u")</formula>
    </cfRule>
    <cfRule type="expression" dxfId="4859" priority="72">
      <formula>COUNTIF(E5,"f")</formula>
    </cfRule>
    <cfRule type="expression" dxfId="4858" priority="73">
      <formula>COUNTIF(E5,"8")</formula>
    </cfRule>
    <cfRule type="expression" dxfId="4857" priority="74">
      <formula>COUNTIF(E5,"7")</formula>
    </cfRule>
    <cfRule type="expression" dxfId="4856" priority="75">
      <formula>COUNTIF(E5,"3")</formula>
    </cfRule>
    <cfRule type="expression" dxfId="4855" priority="77">
      <formula>COUNTIF(E5,"5")</formula>
    </cfRule>
    <cfRule type="expression" dxfId="4854" priority="78">
      <formula>COUNTIF(E5,"2")</formula>
    </cfRule>
    <cfRule type="expression" dxfId="4853" priority="79">
      <formula>COUNTIF(E5,"4")</formula>
    </cfRule>
    <cfRule type="expression" dxfId="4852" priority="80">
      <formula>COUNTIF(E5,"1")</formula>
    </cfRule>
  </conditionalFormatting>
  <conditionalFormatting sqref="F5:F36">
    <cfRule type="expression" dxfId="4851" priority="76">
      <formula>COUNTIF(E5,"6")</formula>
    </cfRule>
  </conditionalFormatting>
  <conditionalFormatting sqref="I5:I36">
    <cfRule type="expression" dxfId="4850" priority="55">
      <formula>COUNTIF(H5,"a")</formula>
    </cfRule>
    <cfRule type="expression" dxfId="4849" priority="56">
      <formula>COUNTIF(H5,"9")</formula>
    </cfRule>
    <cfRule type="expression" dxfId="4848" priority="57">
      <formula>COUNTIF(H5,"k")</formula>
    </cfRule>
    <cfRule type="expression" dxfId="4847" priority="58">
      <formula>COUNTIF(H5,"u")</formula>
    </cfRule>
    <cfRule type="expression" dxfId="4846" priority="59">
      <formula>COUNTIF(H5,"f")</formula>
    </cfRule>
    <cfRule type="expression" dxfId="4845" priority="60">
      <formula>COUNTIF(H5,"8")</formula>
    </cfRule>
    <cfRule type="expression" dxfId="4844" priority="61">
      <formula>COUNTIF(H5,"7")</formula>
    </cfRule>
    <cfRule type="expression" dxfId="4843" priority="62">
      <formula>COUNTIF(H5,"3")</formula>
    </cfRule>
    <cfRule type="expression" dxfId="4842" priority="64">
      <formula>COUNTIF(H5,"5")</formula>
    </cfRule>
    <cfRule type="expression" dxfId="4841" priority="65">
      <formula>COUNTIF(H5,"2")</formula>
    </cfRule>
    <cfRule type="expression" dxfId="4840" priority="66">
      <formula>COUNTIF(H5,"4")</formula>
    </cfRule>
    <cfRule type="expression" dxfId="4839" priority="67">
      <formula>COUNTIF(H5,"1")</formula>
    </cfRule>
  </conditionalFormatting>
  <conditionalFormatting sqref="I5:I36">
    <cfRule type="expression" dxfId="4838" priority="63">
      <formula>COUNTIF(H5,"6")</formula>
    </cfRule>
  </conditionalFormatting>
  <conditionalFormatting sqref="L5:L36">
    <cfRule type="expression" dxfId="4837" priority="42">
      <formula>COUNTIF(K5,"a")</formula>
    </cfRule>
    <cfRule type="expression" dxfId="4836" priority="43">
      <formula>COUNTIF(K5,"9")</formula>
    </cfRule>
    <cfRule type="expression" dxfId="4835" priority="44">
      <formula>COUNTIF(K5,"k")</formula>
    </cfRule>
    <cfRule type="expression" dxfId="4834" priority="45">
      <formula>COUNTIF(K5,"u")</formula>
    </cfRule>
    <cfRule type="expression" dxfId="4833" priority="46">
      <formula>COUNTIF(K5,"f")</formula>
    </cfRule>
    <cfRule type="expression" dxfId="4832" priority="47">
      <formula>COUNTIF(K5,"8")</formula>
    </cfRule>
    <cfRule type="expression" dxfId="4831" priority="48">
      <formula>COUNTIF(K5,"7")</formula>
    </cfRule>
    <cfRule type="expression" dxfId="4830" priority="49">
      <formula>COUNTIF(K5,"3")</formula>
    </cfRule>
    <cfRule type="expression" dxfId="4829" priority="51">
      <formula>COUNTIF(K5,"5")</formula>
    </cfRule>
    <cfRule type="expression" dxfId="4828" priority="52">
      <formula>COUNTIF(K5,"2")</formula>
    </cfRule>
    <cfRule type="expression" dxfId="4827" priority="53">
      <formula>COUNTIF(K5,"4")</formula>
    </cfRule>
    <cfRule type="expression" dxfId="4826" priority="54">
      <formula>COUNTIF(K5,"1")</formula>
    </cfRule>
  </conditionalFormatting>
  <conditionalFormatting sqref="L5:L36">
    <cfRule type="expression" dxfId="4825" priority="50">
      <formula>COUNTIF(K5,"6")</formula>
    </cfRule>
  </conditionalFormatting>
  <conditionalFormatting sqref="O5:O36">
    <cfRule type="expression" dxfId="4824" priority="29">
      <formula>COUNTIF(N5,"a")</formula>
    </cfRule>
    <cfRule type="expression" dxfId="4823" priority="30">
      <formula>COUNTIF(N5,"9")</formula>
    </cfRule>
    <cfRule type="expression" dxfId="4822" priority="31">
      <formula>COUNTIF(N5,"k")</formula>
    </cfRule>
    <cfRule type="expression" dxfId="4821" priority="32">
      <formula>COUNTIF(N5,"u")</formula>
    </cfRule>
    <cfRule type="expression" dxfId="4820" priority="33">
      <formula>COUNTIF(N5,"f")</formula>
    </cfRule>
    <cfRule type="expression" dxfId="4819" priority="34">
      <formula>COUNTIF(N5,"8")</formula>
    </cfRule>
    <cfRule type="expression" dxfId="4818" priority="35">
      <formula>COUNTIF(N5,"7")</formula>
    </cfRule>
    <cfRule type="expression" dxfId="4817" priority="36">
      <formula>COUNTIF(N5,"3")</formula>
    </cfRule>
    <cfRule type="expression" dxfId="4816" priority="38">
      <formula>COUNTIF(N5,"5")</formula>
    </cfRule>
    <cfRule type="expression" dxfId="4815" priority="39">
      <formula>COUNTIF(N5,"2")</formula>
    </cfRule>
    <cfRule type="expression" dxfId="4814" priority="40">
      <formula>COUNTIF(N5,"4")</formula>
    </cfRule>
    <cfRule type="expression" dxfId="4813" priority="41">
      <formula>COUNTIF(N5,"1")</formula>
    </cfRule>
  </conditionalFormatting>
  <conditionalFormatting sqref="O5:O36">
    <cfRule type="expression" dxfId="4812" priority="37">
      <formula>COUNTIF(N5,"6")</formula>
    </cfRule>
  </conditionalFormatting>
  <conditionalFormatting sqref="R5:R36">
    <cfRule type="expression" dxfId="4811" priority="16">
      <formula>COUNTIF(Q5,"a")</formula>
    </cfRule>
    <cfRule type="expression" dxfId="4810" priority="17">
      <formula>COUNTIF(Q5,"9")</formula>
    </cfRule>
    <cfRule type="expression" dxfId="4809" priority="18">
      <formula>COUNTIF(Q5,"k")</formula>
    </cfRule>
    <cfRule type="expression" dxfId="4808" priority="19">
      <formula>COUNTIF(Q5,"u")</formula>
    </cfRule>
    <cfRule type="expression" dxfId="4807" priority="20">
      <formula>COUNTIF(Q5,"f")</formula>
    </cfRule>
    <cfRule type="expression" dxfId="4806" priority="21">
      <formula>COUNTIF(Q5,"8")</formula>
    </cfRule>
    <cfRule type="expression" dxfId="4805" priority="22">
      <formula>COUNTIF(Q5,"7")</formula>
    </cfRule>
    <cfRule type="expression" dxfId="4804" priority="23">
      <formula>COUNTIF(Q5,"3")</formula>
    </cfRule>
    <cfRule type="expression" dxfId="4803" priority="25">
      <formula>COUNTIF(Q5,"5")</formula>
    </cfRule>
    <cfRule type="expression" dxfId="4802" priority="26">
      <formula>COUNTIF(Q5,"2")</formula>
    </cfRule>
    <cfRule type="expression" dxfId="4801" priority="27">
      <formula>COUNTIF(Q5,"4")</formula>
    </cfRule>
    <cfRule type="expression" dxfId="4800" priority="28">
      <formula>COUNTIF(Q5,"1")</formula>
    </cfRule>
  </conditionalFormatting>
  <conditionalFormatting sqref="R5:R36">
    <cfRule type="expression" dxfId="4799" priority="24">
      <formula>COUNTIF(Q5,"6")</formula>
    </cfRule>
  </conditionalFormatting>
  <conditionalFormatting sqref="U5:U36">
    <cfRule type="expression" dxfId="4798" priority="3">
      <formula>COUNTIF(T5,"a")</formula>
    </cfRule>
    <cfRule type="expression" dxfId="4797" priority="4">
      <formula>COUNTIF(T5,"9")</formula>
    </cfRule>
    <cfRule type="expression" dxfId="4796" priority="5">
      <formula>COUNTIF(T5,"k")</formula>
    </cfRule>
    <cfRule type="expression" dxfId="4795" priority="6">
      <formula>COUNTIF(T5,"u")</formula>
    </cfRule>
    <cfRule type="expression" dxfId="4794" priority="7">
      <formula>COUNTIF(T5,"f")</formula>
    </cfRule>
    <cfRule type="expression" dxfId="4793" priority="8">
      <formula>COUNTIF(T5,"8")</formula>
    </cfRule>
    <cfRule type="expression" dxfId="4792" priority="9">
      <formula>COUNTIF(T5,"7")</formula>
    </cfRule>
    <cfRule type="expression" dxfId="4791" priority="10">
      <formula>COUNTIF(T5,"3")</formula>
    </cfRule>
    <cfRule type="expression" dxfId="4790" priority="12">
      <formula>COUNTIF(T5,"5")</formula>
    </cfRule>
    <cfRule type="expression" dxfId="4789" priority="13">
      <formula>COUNTIF(T5,"2")</formula>
    </cfRule>
    <cfRule type="expression" dxfId="4788" priority="14">
      <formula>COUNTIF(T5,"4")</formula>
    </cfRule>
    <cfRule type="expression" dxfId="4787" priority="15">
      <formula>COUNTIF(T5,"1")</formula>
    </cfRule>
  </conditionalFormatting>
  <conditionalFormatting sqref="U5:U36">
    <cfRule type="expression" dxfId="4786" priority="11">
      <formula>COUNTIF(T5,"6")</formula>
    </cfRule>
  </conditionalFormatting>
  <conditionalFormatting sqref="V32">
    <cfRule type="cellIs" dxfId="4785" priority="1" operator="lessThan">
      <formula>0</formula>
    </cfRule>
    <cfRule type="cellIs" dxfId="478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D77F1D44-A558-C342-A6D5-B2213BBA3939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73187-E128-E240-8450-646F7CF2BEAF}">
  <sheetPr codeName="Tabelle73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28</v>
      </c>
      <c r="Q1" s="176"/>
      <c r="R1" s="79">
        <f>DATE(V1,1,7*P1-3-WEEKDAY(DATE(V1,,),3))</f>
        <v>45481</v>
      </c>
      <c r="S1" s="80" t="s">
        <v>1</v>
      </c>
      <c r="T1" s="177">
        <f>DATE(V1,1,7*P1+3-WEEKDAY(DATE(V1,,),3))</f>
        <v>45487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45481</v>
      </c>
      <c r="B2" s="178"/>
      <c r="C2" s="178"/>
      <c r="D2" s="178">
        <f>A2+1</f>
        <v>45482</v>
      </c>
      <c r="E2" s="179"/>
      <c r="F2" s="179"/>
      <c r="G2" s="178">
        <f>D2+1</f>
        <v>45483</v>
      </c>
      <c r="H2" s="179"/>
      <c r="I2" s="179"/>
      <c r="J2" s="178">
        <f>G2+1</f>
        <v>45484</v>
      </c>
      <c r="K2" s="179"/>
      <c r="L2" s="179"/>
      <c r="M2" s="178">
        <f>J2+1</f>
        <v>45485</v>
      </c>
      <c r="N2" s="179"/>
      <c r="O2" s="179"/>
      <c r="P2" s="178">
        <f>M2+1</f>
        <v>45486</v>
      </c>
      <c r="Q2" s="179"/>
      <c r="R2" s="179"/>
      <c r="S2" s="178">
        <f>P2+1</f>
        <v>45487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45481</v>
      </c>
      <c r="B3" s="168"/>
      <c r="C3" s="168"/>
      <c r="D3" s="168">
        <f>A3+1</f>
        <v>45482</v>
      </c>
      <c r="E3" s="168"/>
      <c r="F3" s="168"/>
      <c r="G3" s="168">
        <f>D3+1</f>
        <v>45483</v>
      </c>
      <c r="H3" s="168"/>
      <c r="I3" s="168"/>
      <c r="J3" s="168">
        <f>G3+1</f>
        <v>45484</v>
      </c>
      <c r="K3" s="168"/>
      <c r="L3" s="168"/>
      <c r="M3" s="168">
        <f>J3+1</f>
        <v>45485</v>
      </c>
      <c r="N3" s="168"/>
      <c r="O3" s="168"/>
      <c r="P3" s="168">
        <f>M3+1</f>
        <v>45486</v>
      </c>
      <c r="Q3" s="168"/>
      <c r="R3" s="168"/>
      <c r="S3" s="168">
        <f>P3+1</f>
        <v>45487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45481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45482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45483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45484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45485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45486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45487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27'!V32</f>
        <v>-1080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-1120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783" priority="159">
      <formula>COUNTIF(B5,"a")</formula>
    </cfRule>
    <cfRule type="expression" dxfId="4782" priority="161">
      <formula>COUNTIF(B5,"9")</formula>
    </cfRule>
    <cfRule type="expression" dxfId="4781" priority="163">
      <formula>COUNTIF(B5,"k")</formula>
    </cfRule>
    <cfRule type="expression" dxfId="4780" priority="164">
      <formula>COUNTIF(B5,"u")</formula>
    </cfRule>
    <cfRule type="expression" dxfId="4779" priority="167">
      <formula>COUNTIF(B5,"f")</formula>
    </cfRule>
    <cfRule type="expression" dxfId="4778" priority="168">
      <formula>COUNTIF(B5,"8")</formula>
    </cfRule>
    <cfRule type="expression" dxfId="4777" priority="169">
      <formula>COUNTIF(B5,"7")</formula>
    </cfRule>
    <cfRule type="expression" dxfId="4776" priority="170">
      <formula>COUNTIF(B5,"3")</formula>
    </cfRule>
    <cfRule type="expression" dxfId="4775" priority="181">
      <formula>COUNTIF(B5,"5")</formula>
    </cfRule>
    <cfRule type="expression" dxfId="4774" priority="182">
      <formula>COUNTIF(B5,"2")</formula>
    </cfRule>
    <cfRule type="expression" dxfId="4773" priority="183">
      <formula>COUNTIF(B5,"4")</formula>
    </cfRule>
    <cfRule type="expression" dxfId="4772" priority="184">
      <formula>COUNTIF(B5,"1")</formula>
    </cfRule>
  </conditionalFormatting>
  <conditionalFormatting sqref="B5:B36">
    <cfRule type="cellIs" dxfId="4771" priority="160" operator="equal">
      <formula>"a"</formula>
    </cfRule>
    <cfRule type="cellIs" dxfId="4770" priority="162" operator="equal">
      <formula>"k"</formula>
    </cfRule>
    <cfRule type="cellIs" dxfId="4769" priority="165" operator="equal">
      <formula>"u"</formula>
    </cfRule>
    <cfRule type="cellIs" dxfId="4768" priority="166" operator="equal">
      <formula>"f"</formula>
    </cfRule>
    <cfRule type="cellIs" dxfId="4767" priority="171" operator="equal">
      <formula>9</formula>
    </cfRule>
    <cfRule type="cellIs" dxfId="4766" priority="172" operator="equal">
      <formula>8</formula>
    </cfRule>
    <cfRule type="cellIs" dxfId="4765" priority="173" operator="equal">
      <formula>5</formula>
    </cfRule>
    <cfRule type="cellIs" dxfId="4764" priority="174" operator="equal">
      <formula>3</formula>
    </cfRule>
    <cfRule type="cellIs" dxfId="4763" priority="176" operator="equal">
      <formula>6</formula>
    </cfRule>
    <cfRule type="cellIs" dxfId="4762" priority="177" operator="equal">
      <formula>4</formula>
    </cfRule>
    <cfRule type="cellIs" dxfId="4761" priority="178" operator="equal">
      <formula>2</formula>
    </cfRule>
    <cfRule type="cellIs" dxfId="4760" priority="179" operator="equal">
      <formula>7</formula>
    </cfRule>
    <cfRule type="cellIs" dxfId="4759" priority="180" operator="equal">
      <formula>1</formula>
    </cfRule>
  </conditionalFormatting>
  <conditionalFormatting sqref="C5:C36">
    <cfRule type="expression" dxfId="4758" priority="175">
      <formula>COUNTIF(B5,"6")</formula>
    </cfRule>
  </conditionalFormatting>
  <conditionalFormatting sqref="E5:E36">
    <cfRule type="cellIs" dxfId="4757" priority="146" operator="equal">
      <formula>"a"</formula>
    </cfRule>
    <cfRule type="cellIs" dxfId="4756" priority="147" operator="equal">
      <formula>"k"</formula>
    </cfRule>
    <cfRule type="cellIs" dxfId="4755" priority="148" operator="equal">
      <formula>"u"</formula>
    </cfRule>
    <cfRule type="cellIs" dxfId="4754" priority="149" operator="equal">
      <formula>"f"</formula>
    </cfRule>
    <cfRule type="cellIs" dxfId="4753" priority="150" operator="equal">
      <formula>9</formula>
    </cfRule>
    <cfRule type="cellIs" dxfId="4752" priority="151" operator="equal">
      <formula>8</formula>
    </cfRule>
    <cfRule type="cellIs" dxfId="4751" priority="152" operator="equal">
      <formula>5</formula>
    </cfRule>
    <cfRule type="cellIs" dxfId="4750" priority="153" operator="equal">
      <formula>3</formula>
    </cfRule>
    <cfRule type="cellIs" dxfId="4749" priority="154" operator="equal">
      <formula>6</formula>
    </cfRule>
    <cfRule type="cellIs" dxfId="4748" priority="155" operator="equal">
      <formula>4</formula>
    </cfRule>
    <cfRule type="cellIs" dxfId="4747" priority="156" operator="equal">
      <formula>2</formula>
    </cfRule>
    <cfRule type="cellIs" dxfId="4746" priority="157" operator="equal">
      <formula>7</formula>
    </cfRule>
    <cfRule type="cellIs" dxfId="4745" priority="158" operator="equal">
      <formula>1</formula>
    </cfRule>
  </conditionalFormatting>
  <conditionalFormatting sqref="H5:H36">
    <cfRule type="cellIs" dxfId="4744" priority="133" operator="equal">
      <formula>"a"</formula>
    </cfRule>
    <cfRule type="cellIs" dxfId="4743" priority="134" operator="equal">
      <formula>"k"</formula>
    </cfRule>
    <cfRule type="cellIs" dxfId="4742" priority="135" operator="equal">
      <formula>"u"</formula>
    </cfRule>
    <cfRule type="cellIs" dxfId="4741" priority="136" operator="equal">
      <formula>"f"</formula>
    </cfRule>
    <cfRule type="cellIs" dxfId="4740" priority="137" operator="equal">
      <formula>9</formula>
    </cfRule>
    <cfRule type="cellIs" dxfId="4739" priority="138" operator="equal">
      <formula>8</formula>
    </cfRule>
    <cfRule type="cellIs" dxfId="4738" priority="139" operator="equal">
      <formula>5</formula>
    </cfRule>
    <cfRule type="cellIs" dxfId="4737" priority="140" operator="equal">
      <formula>3</formula>
    </cfRule>
    <cfRule type="cellIs" dxfId="4736" priority="141" operator="equal">
      <formula>6</formula>
    </cfRule>
    <cfRule type="cellIs" dxfId="4735" priority="142" operator="equal">
      <formula>4</formula>
    </cfRule>
    <cfRule type="cellIs" dxfId="4734" priority="143" operator="equal">
      <formula>2</formula>
    </cfRule>
    <cfRule type="cellIs" dxfId="4733" priority="144" operator="equal">
      <formula>7</formula>
    </cfRule>
    <cfRule type="cellIs" dxfId="4732" priority="145" operator="equal">
      <formula>1</formula>
    </cfRule>
  </conditionalFormatting>
  <conditionalFormatting sqref="K5:K36">
    <cfRule type="cellIs" dxfId="4731" priority="120" operator="equal">
      <formula>"a"</formula>
    </cfRule>
    <cfRule type="cellIs" dxfId="4730" priority="121" operator="equal">
      <formula>"k"</formula>
    </cfRule>
    <cfRule type="cellIs" dxfId="4729" priority="122" operator="equal">
      <formula>"u"</formula>
    </cfRule>
    <cfRule type="cellIs" dxfId="4728" priority="123" operator="equal">
      <formula>"f"</formula>
    </cfRule>
    <cfRule type="cellIs" dxfId="4727" priority="124" operator="equal">
      <formula>9</formula>
    </cfRule>
    <cfRule type="cellIs" dxfId="4726" priority="125" operator="equal">
      <formula>8</formula>
    </cfRule>
    <cfRule type="cellIs" dxfId="4725" priority="126" operator="equal">
      <formula>5</formula>
    </cfRule>
    <cfRule type="cellIs" dxfId="4724" priority="127" operator="equal">
      <formula>3</formula>
    </cfRule>
    <cfRule type="cellIs" dxfId="4723" priority="128" operator="equal">
      <formula>6</formula>
    </cfRule>
    <cfRule type="cellIs" dxfId="4722" priority="129" operator="equal">
      <formula>4</formula>
    </cfRule>
    <cfRule type="cellIs" dxfId="4721" priority="130" operator="equal">
      <formula>2</formula>
    </cfRule>
    <cfRule type="cellIs" dxfId="4720" priority="131" operator="equal">
      <formula>7</formula>
    </cfRule>
    <cfRule type="cellIs" dxfId="4719" priority="132" operator="equal">
      <formula>1</formula>
    </cfRule>
  </conditionalFormatting>
  <conditionalFormatting sqref="N5:N36">
    <cfRule type="cellIs" dxfId="4718" priority="107" operator="equal">
      <formula>"a"</formula>
    </cfRule>
    <cfRule type="cellIs" dxfId="4717" priority="108" operator="equal">
      <formula>"k"</formula>
    </cfRule>
    <cfRule type="cellIs" dxfId="4716" priority="109" operator="equal">
      <formula>"u"</formula>
    </cfRule>
    <cfRule type="cellIs" dxfId="4715" priority="110" operator="equal">
      <formula>"f"</formula>
    </cfRule>
    <cfRule type="cellIs" dxfId="4714" priority="111" operator="equal">
      <formula>9</formula>
    </cfRule>
    <cfRule type="cellIs" dxfId="4713" priority="112" operator="equal">
      <formula>8</formula>
    </cfRule>
    <cfRule type="cellIs" dxfId="4712" priority="113" operator="equal">
      <formula>5</formula>
    </cfRule>
    <cfRule type="cellIs" dxfId="4711" priority="114" operator="equal">
      <formula>3</formula>
    </cfRule>
    <cfRule type="cellIs" dxfId="4710" priority="115" operator="equal">
      <formula>6</formula>
    </cfRule>
    <cfRule type="cellIs" dxfId="4709" priority="116" operator="equal">
      <formula>4</formula>
    </cfRule>
    <cfRule type="cellIs" dxfId="4708" priority="117" operator="equal">
      <formula>2</formula>
    </cfRule>
    <cfRule type="cellIs" dxfId="4707" priority="118" operator="equal">
      <formula>7</formula>
    </cfRule>
    <cfRule type="cellIs" dxfId="4706" priority="119" operator="equal">
      <formula>1</formula>
    </cfRule>
  </conditionalFormatting>
  <conditionalFormatting sqref="Q5:Q36">
    <cfRule type="cellIs" dxfId="4705" priority="94" operator="equal">
      <formula>"a"</formula>
    </cfRule>
    <cfRule type="cellIs" dxfId="4704" priority="95" operator="equal">
      <formula>"k"</formula>
    </cfRule>
    <cfRule type="cellIs" dxfId="4703" priority="96" operator="equal">
      <formula>"u"</formula>
    </cfRule>
    <cfRule type="cellIs" dxfId="4702" priority="97" operator="equal">
      <formula>"f"</formula>
    </cfRule>
    <cfRule type="cellIs" dxfId="4701" priority="98" operator="equal">
      <formula>9</formula>
    </cfRule>
    <cfRule type="cellIs" dxfId="4700" priority="99" operator="equal">
      <formula>8</formula>
    </cfRule>
    <cfRule type="cellIs" dxfId="4699" priority="100" operator="equal">
      <formula>5</formula>
    </cfRule>
    <cfRule type="cellIs" dxfId="4698" priority="101" operator="equal">
      <formula>3</formula>
    </cfRule>
    <cfRule type="cellIs" dxfId="4697" priority="102" operator="equal">
      <formula>6</formula>
    </cfRule>
    <cfRule type="cellIs" dxfId="4696" priority="103" operator="equal">
      <formula>4</formula>
    </cfRule>
    <cfRule type="cellIs" dxfId="4695" priority="104" operator="equal">
      <formula>2</formula>
    </cfRule>
    <cfRule type="cellIs" dxfId="4694" priority="105" operator="equal">
      <formula>7</formula>
    </cfRule>
    <cfRule type="cellIs" dxfId="4693" priority="106" operator="equal">
      <formula>1</formula>
    </cfRule>
  </conditionalFormatting>
  <conditionalFormatting sqref="T5:T36">
    <cfRule type="cellIs" dxfId="4692" priority="81" operator="equal">
      <formula>"a"</formula>
    </cfRule>
    <cfRule type="cellIs" dxfId="4691" priority="82" operator="equal">
      <formula>"k"</formula>
    </cfRule>
    <cfRule type="cellIs" dxfId="4690" priority="83" operator="equal">
      <formula>"u"</formula>
    </cfRule>
    <cfRule type="cellIs" dxfId="4689" priority="84" operator="equal">
      <formula>"f"</formula>
    </cfRule>
    <cfRule type="cellIs" dxfId="4688" priority="85" operator="equal">
      <formula>9</formula>
    </cfRule>
    <cfRule type="cellIs" dxfId="4687" priority="86" operator="equal">
      <formula>8</formula>
    </cfRule>
    <cfRule type="cellIs" dxfId="4686" priority="87" operator="equal">
      <formula>5</formula>
    </cfRule>
    <cfRule type="cellIs" dxfId="4685" priority="88" operator="equal">
      <formula>3</formula>
    </cfRule>
    <cfRule type="cellIs" dxfId="4684" priority="89" operator="equal">
      <formula>6</formula>
    </cfRule>
    <cfRule type="cellIs" dxfId="4683" priority="90" operator="equal">
      <formula>4</formula>
    </cfRule>
    <cfRule type="cellIs" dxfId="4682" priority="91" operator="equal">
      <formula>2</formula>
    </cfRule>
    <cfRule type="cellIs" dxfId="4681" priority="92" operator="equal">
      <formula>7</formula>
    </cfRule>
    <cfRule type="cellIs" dxfId="4680" priority="93" operator="equal">
      <formula>1</formula>
    </cfRule>
  </conditionalFormatting>
  <conditionalFormatting sqref="F5:F36">
    <cfRule type="expression" dxfId="4679" priority="68">
      <formula>COUNTIF(E5,"a")</formula>
    </cfRule>
    <cfRule type="expression" dxfId="4678" priority="69">
      <formula>COUNTIF(E5,"9")</formula>
    </cfRule>
    <cfRule type="expression" dxfId="4677" priority="70">
      <formula>COUNTIF(E5,"k")</formula>
    </cfRule>
    <cfRule type="expression" dxfId="4676" priority="71">
      <formula>COUNTIF(E5,"u")</formula>
    </cfRule>
    <cfRule type="expression" dxfId="4675" priority="72">
      <formula>COUNTIF(E5,"f")</formula>
    </cfRule>
    <cfRule type="expression" dxfId="4674" priority="73">
      <formula>COUNTIF(E5,"8")</formula>
    </cfRule>
    <cfRule type="expression" dxfId="4673" priority="74">
      <formula>COUNTIF(E5,"7")</formula>
    </cfRule>
    <cfRule type="expression" dxfId="4672" priority="75">
      <formula>COUNTIF(E5,"3")</formula>
    </cfRule>
    <cfRule type="expression" dxfId="4671" priority="77">
      <formula>COUNTIF(E5,"5")</formula>
    </cfRule>
    <cfRule type="expression" dxfId="4670" priority="78">
      <formula>COUNTIF(E5,"2")</formula>
    </cfRule>
    <cfRule type="expression" dxfId="4669" priority="79">
      <formula>COUNTIF(E5,"4")</formula>
    </cfRule>
    <cfRule type="expression" dxfId="4668" priority="80">
      <formula>COUNTIF(E5,"1")</formula>
    </cfRule>
  </conditionalFormatting>
  <conditionalFormatting sqref="F5:F36">
    <cfRule type="expression" dxfId="4667" priority="76">
      <formula>COUNTIF(E5,"6")</formula>
    </cfRule>
  </conditionalFormatting>
  <conditionalFormatting sqref="I5:I36">
    <cfRule type="expression" dxfId="4666" priority="55">
      <formula>COUNTIF(H5,"a")</formula>
    </cfRule>
    <cfRule type="expression" dxfId="4665" priority="56">
      <formula>COUNTIF(H5,"9")</formula>
    </cfRule>
    <cfRule type="expression" dxfId="4664" priority="57">
      <formula>COUNTIF(H5,"k")</formula>
    </cfRule>
    <cfRule type="expression" dxfId="4663" priority="58">
      <formula>COUNTIF(H5,"u")</formula>
    </cfRule>
    <cfRule type="expression" dxfId="4662" priority="59">
      <formula>COUNTIF(H5,"f")</formula>
    </cfRule>
    <cfRule type="expression" dxfId="4661" priority="60">
      <formula>COUNTIF(H5,"8")</formula>
    </cfRule>
    <cfRule type="expression" dxfId="4660" priority="61">
      <formula>COUNTIF(H5,"7")</formula>
    </cfRule>
    <cfRule type="expression" dxfId="4659" priority="62">
      <formula>COUNTIF(H5,"3")</formula>
    </cfRule>
    <cfRule type="expression" dxfId="4658" priority="64">
      <formula>COUNTIF(H5,"5")</formula>
    </cfRule>
    <cfRule type="expression" dxfId="4657" priority="65">
      <formula>COUNTIF(H5,"2")</formula>
    </cfRule>
    <cfRule type="expression" dxfId="4656" priority="66">
      <formula>COUNTIF(H5,"4")</formula>
    </cfRule>
    <cfRule type="expression" dxfId="4655" priority="67">
      <formula>COUNTIF(H5,"1")</formula>
    </cfRule>
  </conditionalFormatting>
  <conditionalFormatting sqref="I5:I36">
    <cfRule type="expression" dxfId="4654" priority="63">
      <formula>COUNTIF(H5,"6")</formula>
    </cfRule>
  </conditionalFormatting>
  <conditionalFormatting sqref="L5:L36">
    <cfRule type="expression" dxfId="4653" priority="42">
      <formula>COUNTIF(K5,"a")</formula>
    </cfRule>
    <cfRule type="expression" dxfId="4652" priority="43">
      <formula>COUNTIF(K5,"9")</formula>
    </cfRule>
    <cfRule type="expression" dxfId="4651" priority="44">
      <formula>COUNTIF(K5,"k")</formula>
    </cfRule>
    <cfRule type="expression" dxfId="4650" priority="45">
      <formula>COUNTIF(K5,"u")</formula>
    </cfRule>
    <cfRule type="expression" dxfId="4649" priority="46">
      <formula>COUNTIF(K5,"f")</formula>
    </cfRule>
    <cfRule type="expression" dxfId="4648" priority="47">
      <formula>COUNTIF(K5,"8")</formula>
    </cfRule>
    <cfRule type="expression" dxfId="4647" priority="48">
      <formula>COUNTIF(K5,"7")</formula>
    </cfRule>
    <cfRule type="expression" dxfId="4646" priority="49">
      <formula>COUNTIF(K5,"3")</formula>
    </cfRule>
    <cfRule type="expression" dxfId="4645" priority="51">
      <formula>COUNTIF(K5,"5")</formula>
    </cfRule>
    <cfRule type="expression" dxfId="4644" priority="52">
      <formula>COUNTIF(K5,"2")</formula>
    </cfRule>
    <cfRule type="expression" dxfId="4643" priority="53">
      <formula>COUNTIF(K5,"4")</formula>
    </cfRule>
    <cfRule type="expression" dxfId="4642" priority="54">
      <formula>COUNTIF(K5,"1")</formula>
    </cfRule>
  </conditionalFormatting>
  <conditionalFormatting sqref="L5:L36">
    <cfRule type="expression" dxfId="4641" priority="50">
      <formula>COUNTIF(K5,"6")</formula>
    </cfRule>
  </conditionalFormatting>
  <conditionalFormatting sqref="O5:O36">
    <cfRule type="expression" dxfId="4640" priority="29">
      <formula>COUNTIF(N5,"a")</formula>
    </cfRule>
    <cfRule type="expression" dxfId="4639" priority="30">
      <formula>COUNTIF(N5,"9")</formula>
    </cfRule>
    <cfRule type="expression" dxfId="4638" priority="31">
      <formula>COUNTIF(N5,"k")</formula>
    </cfRule>
    <cfRule type="expression" dxfId="4637" priority="32">
      <formula>COUNTIF(N5,"u")</formula>
    </cfRule>
    <cfRule type="expression" dxfId="4636" priority="33">
      <formula>COUNTIF(N5,"f")</formula>
    </cfRule>
    <cfRule type="expression" dxfId="4635" priority="34">
      <formula>COUNTIF(N5,"8")</formula>
    </cfRule>
    <cfRule type="expression" dxfId="4634" priority="35">
      <formula>COUNTIF(N5,"7")</formula>
    </cfRule>
    <cfRule type="expression" dxfId="4633" priority="36">
      <formula>COUNTIF(N5,"3")</formula>
    </cfRule>
    <cfRule type="expression" dxfId="4632" priority="38">
      <formula>COUNTIF(N5,"5")</formula>
    </cfRule>
    <cfRule type="expression" dxfId="4631" priority="39">
      <formula>COUNTIF(N5,"2")</formula>
    </cfRule>
    <cfRule type="expression" dxfId="4630" priority="40">
      <formula>COUNTIF(N5,"4")</formula>
    </cfRule>
    <cfRule type="expression" dxfId="4629" priority="41">
      <formula>COUNTIF(N5,"1")</formula>
    </cfRule>
  </conditionalFormatting>
  <conditionalFormatting sqref="O5:O36">
    <cfRule type="expression" dxfId="4628" priority="37">
      <formula>COUNTIF(N5,"6")</formula>
    </cfRule>
  </conditionalFormatting>
  <conditionalFormatting sqref="R5:R36">
    <cfRule type="expression" dxfId="4627" priority="16">
      <formula>COUNTIF(Q5,"a")</formula>
    </cfRule>
    <cfRule type="expression" dxfId="4626" priority="17">
      <formula>COUNTIF(Q5,"9")</formula>
    </cfRule>
    <cfRule type="expression" dxfId="4625" priority="18">
      <formula>COUNTIF(Q5,"k")</formula>
    </cfRule>
    <cfRule type="expression" dxfId="4624" priority="19">
      <formula>COUNTIF(Q5,"u")</formula>
    </cfRule>
    <cfRule type="expression" dxfId="4623" priority="20">
      <formula>COUNTIF(Q5,"f")</formula>
    </cfRule>
    <cfRule type="expression" dxfId="4622" priority="21">
      <formula>COUNTIF(Q5,"8")</formula>
    </cfRule>
    <cfRule type="expression" dxfId="4621" priority="22">
      <formula>COUNTIF(Q5,"7")</formula>
    </cfRule>
    <cfRule type="expression" dxfId="4620" priority="23">
      <formula>COUNTIF(Q5,"3")</formula>
    </cfRule>
    <cfRule type="expression" dxfId="4619" priority="25">
      <formula>COUNTIF(Q5,"5")</formula>
    </cfRule>
    <cfRule type="expression" dxfId="4618" priority="26">
      <formula>COUNTIF(Q5,"2")</formula>
    </cfRule>
    <cfRule type="expression" dxfId="4617" priority="27">
      <formula>COUNTIF(Q5,"4")</formula>
    </cfRule>
    <cfRule type="expression" dxfId="4616" priority="28">
      <formula>COUNTIF(Q5,"1")</formula>
    </cfRule>
  </conditionalFormatting>
  <conditionalFormatting sqref="R5:R36">
    <cfRule type="expression" dxfId="4615" priority="24">
      <formula>COUNTIF(Q5,"6")</formula>
    </cfRule>
  </conditionalFormatting>
  <conditionalFormatting sqref="U5:U36">
    <cfRule type="expression" dxfId="4614" priority="3">
      <formula>COUNTIF(T5,"a")</formula>
    </cfRule>
    <cfRule type="expression" dxfId="4613" priority="4">
      <formula>COUNTIF(T5,"9")</formula>
    </cfRule>
    <cfRule type="expression" dxfId="4612" priority="5">
      <formula>COUNTIF(T5,"k")</formula>
    </cfRule>
    <cfRule type="expression" dxfId="4611" priority="6">
      <formula>COUNTIF(T5,"u")</formula>
    </cfRule>
    <cfRule type="expression" dxfId="4610" priority="7">
      <formula>COUNTIF(T5,"f")</formula>
    </cfRule>
    <cfRule type="expression" dxfId="4609" priority="8">
      <formula>COUNTIF(T5,"8")</formula>
    </cfRule>
    <cfRule type="expression" dxfId="4608" priority="9">
      <formula>COUNTIF(T5,"7")</formula>
    </cfRule>
    <cfRule type="expression" dxfId="4607" priority="10">
      <formula>COUNTIF(T5,"3")</formula>
    </cfRule>
    <cfRule type="expression" dxfId="4606" priority="12">
      <formula>COUNTIF(T5,"5")</formula>
    </cfRule>
    <cfRule type="expression" dxfId="4605" priority="13">
      <formula>COUNTIF(T5,"2")</formula>
    </cfRule>
    <cfRule type="expression" dxfId="4604" priority="14">
      <formula>COUNTIF(T5,"4")</formula>
    </cfRule>
    <cfRule type="expression" dxfId="4603" priority="15">
      <formula>COUNTIF(T5,"1")</formula>
    </cfRule>
  </conditionalFormatting>
  <conditionalFormatting sqref="U5:U36">
    <cfRule type="expression" dxfId="4602" priority="11">
      <formula>COUNTIF(T5,"6")</formula>
    </cfRule>
  </conditionalFormatting>
  <conditionalFormatting sqref="V32">
    <cfRule type="cellIs" dxfId="4601" priority="1" operator="lessThan">
      <formula>0</formula>
    </cfRule>
    <cfRule type="cellIs" dxfId="460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3D61D7E4-8DF5-0840-AC2E-65EC3F1CCCCC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B76F1-4AA8-E443-BF9B-F27DA1A8754D}">
  <sheetPr codeName="Tabelle74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29</v>
      </c>
      <c r="Q1" s="176"/>
      <c r="R1" s="79">
        <f>DATE(V1,1,7*P1-3-WEEKDAY(DATE(V1,,),3))</f>
        <v>45488</v>
      </c>
      <c r="S1" s="80" t="s">
        <v>1</v>
      </c>
      <c r="T1" s="177">
        <f>DATE(V1,1,7*P1+3-WEEKDAY(DATE(V1,,),3))</f>
        <v>45494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45488</v>
      </c>
      <c r="B2" s="178"/>
      <c r="C2" s="178"/>
      <c r="D2" s="178">
        <f>A2+1</f>
        <v>45489</v>
      </c>
      <c r="E2" s="179"/>
      <c r="F2" s="179"/>
      <c r="G2" s="178">
        <f>D2+1</f>
        <v>45490</v>
      </c>
      <c r="H2" s="179"/>
      <c r="I2" s="179"/>
      <c r="J2" s="178">
        <f>G2+1</f>
        <v>45491</v>
      </c>
      <c r="K2" s="179"/>
      <c r="L2" s="179"/>
      <c r="M2" s="178">
        <f>J2+1</f>
        <v>45492</v>
      </c>
      <c r="N2" s="179"/>
      <c r="O2" s="179"/>
      <c r="P2" s="178">
        <f>M2+1</f>
        <v>45493</v>
      </c>
      <c r="Q2" s="179"/>
      <c r="R2" s="179"/>
      <c r="S2" s="178">
        <f>P2+1</f>
        <v>45494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45488</v>
      </c>
      <c r="B3" s="168"/>
      <c r="C3" s="168"/>
      <c r="D3" s="168">
        <f>A3+1</f>
        <v>45489</v>
      </c>
      <c r="E3" s="168"/>
      <c r="F3" s="168"/>
      <c r="G3" s="168">
        <f>D3+1</f>
        <v>45490</v>
      </c>
      <c r="H3" s="168"/>
      <c r="I3" s="168"/>
      <c r="J3" s="168">
        <f>G3+1</f>
        <v>45491</v>
      </c>
      <c r="K3" s="168"/>
      <c r="L3" s="168"/>
      <c r="M3" s="168">
        <f>J3+1</f>
        <v>45492</v>
      </c>
      <c r="N3" s="168"/>
      <c r="O3" s="168"/>
      <c r="P3" s="168">
        <f>M3+1</f>
        <v>45493</v>
      </c>
      <c r="Q3" s="168"/>
      <c r="R3" s="168"/>
      <c r="S3" s="168">
        <f>P3+1</f>
        <v>45494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45488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45489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45490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45491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45492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45493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45494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28'!V32</f>
        <v>-1120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-1160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599" priority="159">
      <formula>COUNTIF(B5,"a")</formula>
    </cfRule>
    <cfRule type="expression" dxfId="4598" priority="161">
      <formula>COUNTIF(B5,"9")</formula>
    </cfRule>
    <cfRule type="expression" dxfId="4597" priority="163">
      <formula>COUNTIF(B5,"k")</formula>
    </cfRule>
    <cfRule type="expression" dxfId="4596" priority="164">
      <formula>COUNTIF(B5,"u")</formula>
    </cfRule>
    <cfRule type="expression" dxfId="4595" priority="167">
      <formula>COUNTIF(B5,"f")</formula>
    </cfRule>
    <cfRule type="expression" dxfId="4594" priority="168">
      <formula>COUNTIF(B5,"8")</formula>
    </cfRule>
    <cfRule type="expression" dxfId="4593" priority="169">
      <formula>COUNTIF(B5,"7")</formula>
    </cfRule>
    <cfRule type="expression" dxfId="4592" priority="170">
      <formula>COUNTIF(B5,"3")</formula>
    </cfRule>
    <cfRule type="expression" dxfId="4591" priority="181">
      <formula>COUNTIF(B5,"5")</formula>
    </cfRule>
    <cfRule type="expression" dxfId="4590" priority="182">
      <formula>COUNTIF(B5,"2")</formula>
    </cfRule>
    <cfRule type="expression" dxfId="4589" priority="183">
      <formula>COUNTIF(B5,"4")</formula>
    </cfRule>
    <cfRule type="expression" dxfId="4588" priority="184">
      <formula>COUNTIF(B5,"1")</formula>
    </cfRule>
  </conditionalFormatting>
  <conditionalFormatting sqref="B5:B36">
    <cfRule type="cellIs" dxfId="4587" priority="160" operator="equal">
      <formula>"a"</formula>
    </cfRule>
    <cfRule type="cellIs" dxfId="4586" priority="162" operator="equal">
      <formula>"k"</formula>
    </cfRule>
    <cfRule type="cellIs" dxfId="4585" priority="165" operator="equal">
      <formula>"u"</formula>
    </cfRule>
    <cfRule type="cellIs" dxfId="4584" priority="166" operator="equal">
      <formula>"f"</formula>
    </cfRule>
    <cfRule type="cellIs" dxfId="4583" priority="171" operator="equal">
      <formula>9</formula>
    </cfRule>
    <cfRule type="cellIs" dxfId="4582" priority="172" operator="equal">
      <formula>8</formula>
    </cfRule>
    <cfRule type="cellIs" dxfId="4581" priority="173" operator="equal">
      <formula>5</formula>
    </cfRule>
    <cfRule type="cellIs" dxfId="4580" priority="174" operator="equal">
      <formula>3</formula>
    </cfRule>
    <cfRule type="cellIs" dxfId="4579" priority="176" operator="equal">
      <formula>6</formula>
    </cfRule>
    <cfRule type="cellIs" dxfId="4578" priority="177" operator="equal">
      <formula>4</formula>
    </cfRule>
    <cfRule type="cellIs" dxfId="4577" priority="178" operator="equal">
      <formula>2</formula>
    </cfRule>
    <cfRule type="cellIs" dxfId="4576" priority="179" operator="equal">
      <formula>7</formula>
    </cfRule>
    <cfRule type="cellIs" dxfId="4575" priority="180" operator="equal">
      <formula>1</formula>
    </cfRule>
  </conditionalFormatting>
  <conditionalFormatting sqref="C5:C36">
    <cfRule type="expression" dxfId="4574" priority="175">
      <formula>COUNTIF(B5,"6")</formula>
    </cfRule>
  </conditionalFormatting>
  <conditionalFormatting sqref="E5:E36">
    <cfRule type="cellIs" dxfId="4573" priority="146" operator="equal">
      <formula>"a"</formula>
    </cfRule>
    <cfRule type="cellIs" dxfId="4572" priority="147" operator="equal">
      <formula>"k"</formula>
    </cfRule>
    <cfRule type="cellIs" dxfId="4571" priority="148" operator="equal">
      <formula>"u"</formula>
    </cfRule>
    <cfRule type="cellIs" dxfId="4570" priority="149" operator="equal">
      <formula>"f"</formula>
    </cfRule>
    <cfRule type="cellIs" dxfId="4569" priority="150" operator="equal">
      <formula>9</formula>
    </cfRule>
    <cfRule type="cellIs" dxfId="4568" priority="151" operator="equal">
      <formula>8</formula>
    </cfRule>
    <cfRule type="cellIs" dxfId="4567" priority="152" operator="equal">
      <formula>5</formula>
    </cfRule>
    <cfRule type="cellIs" dxfId="4566" priority="153" operator="equal">
      <formula>3</formula>
    </cfRule>
    <cfRule type="cellIs" dxfId="4565" priority="154" operator="equal">
      <formula>6</formula>
    </cfRule>
    <cfRule type="cellIs" dxfId="4564" priority="155" operator="equal">
      <formula>4</formula>
    </cfRule>
    <cfRule type="cellIs" dxfId="4563" priority="156" operator="equal">
      <formula>2</formula>
    </cfRule>
    <cfRule type="cellIs" dxfId="4562" priority="157" operator="equal">
      <formula>7</formula>
    </cfRule>
    <cfRule type="cellIs" dxfId="4561" priority="158" operator="equal">
      <formula>1</formula>
    </cfRule>
  </conditionalFormatting>
  <conditionalFormatting sqref="H5:H36">
    <cfRule type="cellIs" dxfId="4560" priority="133" operator="equal">
      <formula>"a"</formula>
    </cfRule>
    <cfRule type="cellIs" dxfId="4559" priority="134" operator="equal">
      <formula>"k"</formula>
    </cfRule>
    <cfRule type="cellIs" dxfId="4558" priority="135" operator="equal">
      <formula>"u"</formula>
    </cfRule>
    <cfRule type="cellIs" dxfId="4557" priority="136" operator="equal">
      <formula>"f"</formula>
    </cfRule>
    <cfRule type="cellIs" dxfId="4556" priority="137" operator="equal">
      <formula>9</formula>
    </cfRule>
    <cfRule type="cellIs" dxfId="4555" priority="138" operator="equal">
      <formula>8</formula>
    </cfRule>
    <cfRule type="cellIs" dxfId="4554" priority="139" operator="equal">
      <formula>5</formula>
    </cfRule>
    <cfRule type="cellIs" dxfId="4553" priority="140" operator="equal">
      <formula>3</formula>
    </cfRule>
    <cfRule type="cellIs" dxfId="4552" priority="141" operator="equal">
      <formula>6</formula>
    </cfRule>
    <cfRule type="cellIs" dxfId="4551" priority="142" operator="equal">
      <formula>4</formula>
    </cfRule>
    <cfRule type="cellIs" dxfId="4550" priority="143" operator="equal">
      <formula>2</formula>
    </cfRule>
    <cfRule type="cellIs" dxfId="4549" priority="144" operator="equal">
      <formula>7</formula>
    </cfRule>
    <cfRule type="cellIs" dxfId="4548" priority="145" operator="equal">
      <formula>1</formula>
    </cfRule>
  </conditionalFormatting>
  <conditionalFormatting sqref="K5:K36">
    <cfRule type="cellIs" dxfId="4547" priority="120" operator="equal">
      <formula>"a"</formula>
    </cfRule>
    <cfRule type="cellIs" dxfId="4546" priority="121" operator="equal">
      <formula>"k"</formula>
    </cfRule>
    <cfRule type="cellIs" dxfId="4545" priority="122" operator="equal">
      <formula>"u"</formula>
    </cfRule>
    <cfRule type="cellIs" dxfId="4544" priority="123" operator="equal">
      <formula>"f"</formula>
    </cfRule>
    <cfRule type="cellIs" dxfId="4543" priority="124" operator="equal">
      <formula>9</formula>
    </cfRule>
    <cfRule type="cellIs" dxfId="4542" priority="125" operator="equal">
      <formula>8</formula>
    </cfRule>
    <cfRule type="cellIs" dxfId="4541" priority="126" operator="equal">
      <formula>5</formula>
    </cfRule>
    <cfRule type="cellIs" dxfId="4540" priority="127" operator="equal">
      <formula>3</formula>
    </cfRule>
    <cfRule type="cellIs" dxfId="4539" priority="128" operator="equal">
      <formula>6</formula>
    </cfRule>
    <cfRule type="cellIs" dxfId="4538" priority="129" operator="equal">
      <formula>4</formula>
    </cfRule>
    <cfRule type="cellIs" dxfId="4537" priority="130" operator="equal">
      <formula>2</formula>
    </cfRule>
    <cfRule type="cellIs" dxfId="4536" priority="131" operator="equal">
      <formula>7</formula>
    </cfRule>
    <cfRule type="cellIs" dxfId="4535" priority="132" operator="equal">
      <formula>1</formula>
    </cfRule>
  </conditionalFormatting>
  <conditionalFormatting sqref="N5:N36">
    <cfRule type="cellIs" dxfId="4534" priority="107" operator="equal">
      <formula>"a"</formula>
    </cfRule>
    <cfRule type="cellIs" dxfId="4533" priority="108" operator="equal">
      <formula>"k"</formula>
    </cfRule>
    <cfRule type="cellIs" dxfId="4532" priority="109" operator="equal">
      <formula>"u"</formula>
    </cfRule>
    <cfRule type="cellIs" dxfId="4531" priority="110" operator="equal">
      <formula>"f"</formula>
    </cfRule>
    <cfRule type="cellIs" dxfId="4530" priority="111" operator="equal">
      <formula>9</formula>
    </cfRule>
    <cfRule type="cellIs" dxfId="4529" priority="112" operator="equal">
      <formula>8</formula>
    </cfRule>
    <cfRule type="cellIs" dxfId="4528" priority="113" operator="equal">
      <formula>5</formula>
    </cfRule>
    <cfRule type="cellIs" dxfId="4527" priority="114" operator="equal">
      <formula>3</formula>
    </cfRule>
    <cfRule type="cellIs" dxfId="4526" priority="115" operator="equal">
      <formula>6</formula>
    </cfRule>
    <cfRule type="cellIs" dxfId="4525" priority="116" operator="equal">
      <formula>4</formula>
    </cfRule>
    <cfRule type="cellIs" dxfId="4524" priority="117" operator="equal">
      <formula>2</formula>
    </cfRule>
    <cfRule type="cellIs" dxfId="4523" priority="118" operator="equal">
      <formula>7</formula>
    </cfRule>
    <cfRule type="cellIs" dxfId="4522" priority="119" operator="equal">
      <formula>1</formula>
    </cfRule>
  </conditionalFormatting>
  <conditionalFormatting sqref="Q5:Q36">
    <cfRule type="cellIs" dxfId="4521" priority="94" operator="equal">
      <formula>"a"</formula>
    </cfRule>
    <cfRule type="cellIs" dxfId="4520" priority="95" operator="equal">
      <formula>"k"</formula>
    </cfRule>
    <cfRule type="cellIs" dxfId="4519" priority="96" operator="equal">
      <formula>"u"</formula>
    </cfRule>
    <cfRule type="cellIs" dxfId="4518" priority="97" operator="equal">
      <formula>"f"</formula>
    </cfRule>
    <cfRule type="cellIs" dxfId="4517" priority="98" operator="equal">
      <formula>9</formula>
    </cfRule>
    <cfRule type="cellIs" dxfId="4516" priority="99" operator="equal">
      <formula>8</formula>
    </cfRule>
    <cfRule type="cellIs" dxfId="4515" priority="100" operator="equal">
      <formula>5</formula>
    </cfRule>
    <cfRule type="cellIs" dxfId="4514" priority="101" operator="equal">
      <formula>3</formula>
    </cfRule>
    <cfRule type="cellIs" dxfId="4513" priority="102" operator="equal">
      <formula>6</formula>
    </cfRule>
    <cfRule type="cellIs" dxfId="4512" priority="103" operator="equal">
      <formula>4</formula>
    </cfRule>
    <cfRule type="cellIs" dxfId="4511" priority="104" operator="equal">
      <formula>2</formula>
    </cfRule>
    <cfRule type="cellIs" dxfId="4510" priority="105" operator="equal">
      <formula>7</formula>
    </cfRule>
    <cfRule type="cellIs" dxfId="4509" priority="106" operator="equal">
      <formula>1</formula>
    </cfRule>
  </conditionalFormatting>
  <conditionalFormatting sqref="T5:T36">
    <cfRule type="cellIs" dxfId="4508" priority="81" operator="equal">
      <formula>"a"</formula>
    </cfRule>
    <cfRule type="cellIs" dxfId="4507" priority="82" operator="equal">
      <formula>"k"</formula>
    </cfRule>
    <cfRule type="cellIs" dxfId="4506" priority="83" operator="equal">
      <formula>"u"</formula>
    </cfRule>
    <cfRule type="cellIs" dxfId="4505" priority="84" operator="equal">
      <formula>"f"</formula>
    </cfRule>
    <cfRule type="cellIs" dxfId="4504" priority="85" operator="equal">
      <formula>9</formula>
    </cfRule>
    <cfRule type="cellIs" dxfId="4503" priority="86" operator="equal">
      <formula>8</formula>
    </cfRule>
    <cfRule type="cellIs" dxfId="4502" priority="87" operator="equal">
      <formula>5</formula>
    </cfRule>
    <cfRule type="cellIs" dxfId="4501" priority="88" operator="equal">
      <formula>3</formula>
    </cfRule>
    <cfRule type="cellIs" dxfId="4500" priority="89" operator="equal">
      <formula>6</formula>
    </cfRule>
    <cfRule type="cellIs" dxfId="4499" priority="90" operator="equal">
      <formula>4</formula>
    </cfRule>
    <cfRule type="cellIs" dxfId="4498" priority="91" operator="equal">
      <formula>2</formula>
    </cfRule>
    <cfRule type="cellIs" dxfId="4497" priority="92" operator="equal">
      <formula>7</formula>
    </cfRule>
    <cfRule type="cellIs" dxfId="4496" priority="93" operator="equal">
      <formula>1</formula>
    </cfRule>
  </conditionalFormatting>
  <conditionalFormatting sqref="F5:F36">
    <cfRule type="expression" dxfId="4495" priority="68">
      <formula>COUNTIF(E5,"a")</formula>
    </cfRule>
    <cfRule type="expression" dxfId="4494" priority="69">
      <formula>COUNTIF(E5,"9")</formula>
    </cfRule>
    <cfRule type="expression" dxfId="4493" priority="70">
      <formula>COUNTIF(E5,"k")</formula>
    </cfRule>
    <cfRule type="expression" dxfId="4492" priority="71">
      <formula>COUNTIF(E5,"u")</formula>
    </cfRule>
    <cfRule type="expression" dxfId="4491" priority="72">
      <formula>COUNTIF(E5,"f")</formula>
    </cfRule>
    <cfRule type="expression" dxfId="4490" priority="73">
      <formula>COUNTIF(E5,"8")</formula>
    </cfRule>
    <cfRule type="expression" dxfId="4489" priority="74">
      <formula>COUNTIF(E5,"7")</formula>
    </cfRule>
    <cfRule type="expression" dxfId="4488" priority="75">
      <formula>COUNTIF(E5,"3")</formula>
    </cfRule>
    <cfRule type="expression" dxfId="4487" priority="77">
      <formula>COUNTIF(E5,"5")</formula>
    </cfRule>
    <cfRule type="expression" dxfId="4486" priority="78">
      <formula>COUNTIF(E5,"2")</formula>
    </cfRule>
    <cfRule type="expression" dxfId="4485" priority="79">
      <formula>COUNTIF(E5,"4")</formula>
    </cfRule>
    <cfRule type="expression" dxfId="4484" priority="80">
      <formula>COUNTIF(E5,"1")</formula>
    </cfRule>
  </conditionalFormatting>
  <conditionalFormatting sqref="F5:F36">
    <cfRule type="expression" dxfId="4483" priority="76">
      <formula>COUNTIF(E5,"6")</formula>
    </cfRule>
  </conditionalFormatting>
  <conditionalFormatting sqref="I5:I36">
    <cfRule type="expression" dxfId="4482" priority="55">
      <formula>COUNTIF(H5,"a")</formula>
    </cfRule>
    <cfRule type="expression" dxfId="4481" priority="56">
      <formula>COUNTIF(H5,"9")</formula>
    </cfRule>
    <cfRule type="expression" dxfId="4480" priority="57">
      <formula>COUNTIF(H5,"k")</formula>
    </cfRule>
    <cfRule type="expression" dxfId="4479" priority="58">
      <formula>COUNTIF(H5,"u")</formula>
    </cfRule>
    <cfRule type="expression" dxfId="4478" priority="59">
      <formula>COUNTIF(H5,"f")</formula>
    </cfRule>
    <cfRule type="expression" dxfId="4477" priority="60">
      <formula>COUNTIF(H5,"8")</formula>
    </cfRule>
    <cfRule type="expression" dxfId="4476" priority="61">
      <formula>COUNTIF(H5,"7")</formula>
    </cfRule>
    <cfRule type="expression" dxfId="4475" priority="62">
      <formula>COUNTIF(H5,"3")</formula>
    </cfRule>
    <cfRule type="expression" dxfId="4474" priority="64">
      <formula>COUNTIF(H5,"5")</formula>
    </cfRule>
    <cfRule type="expression" dxfId="4473" priority="65">
      <formula>COUNTIF(H5,"2")</formula>
    </cfRule>
    <cfRule type="expression" dxfId="4472" priority="66">
      <formula>COUNTIF(H5,"4")</formula>
    </cfRule>
    <cfRule type="expression" dxfId="4471" priority="67">
      <formula>COUNTIF(H5,"1")</formula>
    </cfRule>
  </conditionalFormatting>
  <conditionalFormatting sqref="I5:I36">
    <cfRule type="expression" dxfId="4470" priority="63">
      <formula>COUNTIF(H5,"6")</formula>
    </cfRule>
  </conditionalFormatting>
  <conditionalFormatting sqref="L5:L36">
    <cfRule type="expression" dxfId="4469" priority="42">
      <formula>COUNTIF(K5,"a")</formula>
    </cfRule>
    <cfRule type="expression" dxfId="4468" priority="43">
      <formula>COUNTIF(K5,"9")</formula>
    </cfRule>
    <cfRule type="expression" dxfId="4467" priority="44">
      <formula>COUNTIF(K5,"k")</formula>
    </cfRule>
    <cfRule type="expression" dxfId="4466" priority="45">
      <formula>COUNTIF(K5,"u")</formula>
    </cfRule>
    <cfRule type="expression" dxfId="4465" priority="46">
      <formula>COUNTIF(K5,"f")</formula>
    </cfRule>
    <cfRule type="expression" dxfId="4464" priority="47">
      <formula>COUNTIF(K5,"8")</formula>
    </cfRule>
    <cfRule type="expression" dxfId="4463" priority="48">
      <formula>COUNTIF(K5,"7")</formula>
    </cfRule>
    <cfRule type="expression" dxfId="4462" priority="49">
      <formula>COUNTIF(K5,"3")</formula>
    </cfRule>
    <cfRule type="expression" dxfId="4461" priority="51">
      <formula>COUNTIF(K5,"5")</formula>
    </cfRule>
    <cfRule type="expression" dxfId="4460" priority="52">
      <formula>COUNTIF(K5,"2")</formula>
    </cfRule>
    <cfRule type="expression" dxfId="4459" priority="53">
      <formula>COUNTIF(K5,"4")</formula>
    </cfRule>
    <cfRule type="expression" dxfId="4458" priority="54">
      <formula>COUNTIF(K5,"1")</formula>
    </cfRule>
  </conditionalFormatting>
  <conditionalFormatting sqref="L5:L36">
    <cfRule type="expression" dxfId="4457" priority="50">
      <formula>COUNTIF(K5,"6")</formula>
    </cfRule>
  </conditionalFormatting>
  <conditionalFormatting sqref="O5:O36">
    <cfRule type="expression" dxfId="4456" priority="29">
      <formula>COUNTIF(N5,"a")</formula>
    </cfRule>
    <cfRule type="expression" dxfId="4455" priority="30">
      <formula>COUNTIF(N5,"9")</formula>
    </cfRule>
    <cfRule type="expression" dxfId="4454" priority="31">
      <formula>COUNTIF(N5,"k")</formula>
    </cfRule>
    <cfRule type="expression" dxfId="4453" priority="32">
      <formula>COUNTIF(N5,"u")</formula>
    </cfRule>
    <cfRule type="expression" dxfId="4452" priority="33">
      <formula>COUNTIF(N5,"f")</formula>
    </cfRule>
    <cfRule type="expression" dxfId="4451" priority="34">
      <formula>COUNTIF(N5,"8")</formula>
    </cfRule>
    <cfRule type="expression" dxfId="4450" priority="35">
      <formula>COUNTIF(N5,"7")</formula>
    </cfRule>
    <cfRule type="expression" dxfId="4449" priority="36">
      <formula>COUNTIF(N5,"3")</formula>
    </cfRule>
    <cfRule type="expression" dxfId="4448" priority="38">
      <formula>COUNTIF(N5,"5")</formula>
    </cfRule>
    <cfRule type="expression" dxfId="4447" priority="39">
      <formula>COUNTIF(N5,"2")</formula>
    </cfRule>
    <cfRule type="expression" dxfId="4446" priority="40">
      <formula>COUNTIF(N5,"4")</formula>
    </cfRule>
    <cfRule type="expression" dxfId="4445" priority="41">
      <formula>COUNTIF(N5,"1")</formula>
    </cfRule>
  </conditionalFormatting>
  <conditionalFormatting sqref="O5:O36">
    <cfRule type="expression" dxfId="4444" priority="37">
      <formula>COUNTIF(N5,"6")</formula>
    </cfRule>
  </conditionalFormatting>
  <conditionalFormatting sqref="R5:R36">
    <cfRule type="expression" dxfId="4443" priority="16">
      <formula>COUNTIF(Q5,"a")</formula>
    </cfRule>
    <cfRule type="expression" dxfId="4442" priority="17">
      <formula>COUNTIF(Q5,"9")</formula>
    </cfRule>
    <cfRule type="expression" dxfId="4441" priority="18">
      <formula>COUNTIF(Q5,"k")</formula>
    </cfRule>
    <cfRule type="expression" dxfId="4440" priority="19">
      <formula>COUNTIF(Q5,"u")</formula>
    </cfRule>
    <cfRule type="expression" dxfId="4439" priority="20">
      <formula>COUNTIF(Q5,"f")</formula>
    </cfRule>
    <cfRule type="expression" dxfId="4438" priority="21">
      <formula>COUNTIF(Q5,"8")</formula>
    </cfRule>
    <cfRule type="expression" dxfId="4437" priority="22">
      <formula>COUNTIF(Q5,"7")</formula>
    </cfRule>
    <cfRule type="expression" dxfId="4436" priority="23">
      <formula>COUNTIF(Q5,"3")</formula>
    </cfRule>
    <cfRule type="expression" dxfId="4435" priority="25">
      <formula>COUNTIF(Q5,"5")</formula>
    </cfRule>
    <cfRule type="expression" dxfId="4434" priority="26">
      <formula>COUNTIF(Q5,"2")</formula>
    </cfRule>
    <cfRule type="expression" dxfId="4433" priority="27">
      <formula>COUNTIF(Q5,"4")</formula>
    </cfRule>
    <cfRule type="expression" dxfId="4432" priority="28">
      <formula>COUNTIF(Q5,"1")</formula>
    </cfRule>
  </conditionalFormatting>
  <conditionalFormatting sqref="R5:R36">
    <cfRule type="expression" dxfId="4431" priority="24">
      <formula>COUNTIF(Q5,"6")</formula>
    </cfRule>
  </conditionalFormatting>
  <conditionalFormatting sqref="U5:U36">
    <cfRule type="expression" dxfId="4430" priority="3">
      <formula>COUNTIF(T5,"a")</formula>
    </cfRule>
    <cfRule type="expression" dxfId="4429" priority="4">
      <formula>COUNTIF(T5,"9")</formula>
    </cfRule>
    <cfRule type="expression" dxfId="4428" priority="5">
      <formula>COUNTIF(T5,"k")</formula>
    </cfRule>
    <cfRule type="expression" dxfId="4427" priority="6">
      <formula>COUNTIF(T5,"u")</formula>
    </cfRule>
    <cfRule type="expression" dxfId="4426" priority="7">
      <formula>COUNTIF(T5,"f")</formula>
    </cfRule>
    <cfRule type="expression" dxfId="4425" priority="8">
      <formula>COUNTIF(T5,"8")</formula>
    </cfRule>
    <cfRule type="expression" dxfId="4424" priority="9">
      <formula>COUNTIF(T5,"7")</formula>
    </cfRule>
    <cfRule type="expression" dxfId="4423" priority="10">
      <formula>COUNTIF(T5,"3")</formula>
    </cfRule>
    <cfRule type="expression" dxfId="4422" priority="12">
      <formula>COUNTIF(T5,"5")</formula>
    </cfRule>
    <cfRule type="expression" dxfId="4421" priority="13">
      <formula>COUNTIF(T5,"2")</formula>
    </cfRule>
    <cfRule type="expression" dxfId="4420" priority="14">
      <formula>COUNTIF(T5,"4")</formula>
    </cfRule>
    <cfRule type="expression" dxfId="4419" priority="15">
      <formula>COUNTIF(T5,"1")</formula>
    </cfRule>
  </conditionalFormatting>
  <conditionalFormatting sqref="U5:U36">
    <cfRule type="expression" dxfId="4418" priority="11">
      <formula>COUNTIF(T5,"6")</formula>
    </cfRule>
  </conditionalFormatting>
  <conditionalFormatting sqref="V32">
    <cfRule type="cellIs" dxfId="4417" priority="1" operator="lessThan">
      <formula>0</formula>
    </cfRule>
    <cfRule type="cellIs" dxfId="441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CBEE4FA2-72E8-9C4D-BF1C-C2DD61CB9237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78C6-F0D2-0B47-8729-18A0EA311C7E}">
  <sheetPr codeName="Tabelle75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30</v>
      </c>
      <c r="Q1" s="176"/>
      <c r="R1" s="79">
        <f>DATE(V1,1,7*P1-3-WEEKDAY(DATE(V1,,),3))</f>
        <v>45495</v>
      </c>
      <c r="S1" s="80" t="s">
        <v>1</v>
      </c>
      <c r="T1" s="177">
        <f>DATE(V1,1,7*P1+3-WEEKDAY(DATE(V1,,),3))</f>
        <v>45501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45495</v>
      </c>
      <c r="B2" s="178"/>
      <c r="C2" s="178"/>
      <c r="D2" s="178">
        <f>A2+1</f>
        <v>45496</v>
      </c>
      <c r="E2" s="179"/>
      <c r="F2" s="179"/>
      <c r="G2" s="178">
        <f>D2+1</f>
        <v>45497</v>
      </c>
      <c r="H2" s="179"/>
      <c r="I2" s="179"/>
      <c r="J2" s="178">
        <f>G2+1</f>
        <v>45498</v>
      </c>
      <c r="K2" s="179"/>
      <c r="L2" s="179"/>
      <c r="M2" s="178">
        <f>J2+1</f>
        <v>45499</v>
      </c>
      <c r="N2" s="179"/>
      <c r="O2" s="179"/>
      <c r="P2" s="178">
        <f>M2+1</f>
        <v>45500</v>
      </c>
      <c r="Q2" s="179"/>
      <c r="R2" s="179"/>
      <c r="S2" s="178">
        <f>P2+1</f>
        <v>45501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45495</v>
      </c>
      <c r="B3" s="168"/>
      <c r="C3" s="168"/>
      <c r="D3" s="168">
        <f>A3+1</f>
        <v>45496</v>
      </c>
      <c r="E3" s="168"/>
      <c r="F3" s="168"/>
      <c r="G3" s="168">
        <f>D3+1</f>
        <v>45497</v>
      </c>
      <c r="H3" s="168"/>
      <c r="I3" s="168"/>
      <c r="J3" s="168">
        <f>G3+1</f>
        <v>45498</v>
      </c>
      <c r="K3" s="168"/>
      <c r="L3" s="168"/>
      <c r="M3" s="168">
        <f>J3+1</f>
        <v>45499</v>
      </c>
      <c r="N3" s="168"/>
      <c r="O3" s="168"/>
      <c r="P3" s="168">
        <f>M3+1</f>
        <v>45500</v>
      </c>
      <c r="Q3" s="168"/>
      <c r="R3" s="168"/>
      <c r="S3" s="168">
        <f>P3+1</f>
        <v>45501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45495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45496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45497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45498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45499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45500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45501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29'!V32</f>
        <v>-1160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-1200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415" priority="159">
      <formula>COUNTIF(B5,"a")</formula>
    </cfRule>
    <cfRule type="expression" dxfId="4414" priority="161">
      <formula>COUNTIF(B5,"9")</formula>
    </cfRule>
    <cfRule type="expression" dxfId="4413" priority="163">
      <formula>COUNTIF(B5,"k")</formula>
    </cfRule>
    <cfRule type="expression" dxfId="4412" priority="164">
      <formula>COUNTIF(B5,"u")</formula>
    </cfRule>
    <cfRule type="expression" dxfId="4411" priority="167">
      <formula>COUNTIF(B5,"f")</formula>
    </cfRule>
    <cfRule type="expression" dxfId="4410" priority="168">
      <formula>COUNTIF(B5,"8")</formula>
    </cfRule>
    <cfRule type="expression" dxfId="4409" priority="169">
      <formula>COUNTIF(B5,"7")</formula>
    </cfRule>
    <cfRule type="expression" dxfId="4408" priority="170">
      <formula>COUNTIF(B5,"3")</formula>
    </cfRule>
    <cfRule type="expression" dxfId="4407" priority="181">
      <formula>COUNTIF(B5,"5")</formula>
    </cfRule>
    <cfRule type="expression" dxfId="4406" priority="182">
      <formula>COUNTIF(B5,"2")</formula>
    </cfRule>
    <cfRule type="expression" dxfId="4405" priority="183">
      <formula>COUNTIF(B5,"4")</formula>
    </cfRule>
    <cfRule type="expression" dxfId="4404" priority="184">
      <formula>COUNTIF(B5,"1")</formula>
    </cfRule>
  </conditionalFormatting>
  <conditionalFormatting sqref="B5:B36">
    <cfRule type="cellIs" dxfId="4403" priority="160" operator="equal">
      <formula>"a"</formula>
    </cfRule>
    <cfRule type="cellIs" dxfId="4402" priority="162" operator="equal">
      <formula>"k"</formula>
    </cfRule>
    <cfRule type="cellIs" dxfId="4401" priority="165" operator="equal">
      <formula>"u"</formula>
    </cfRule>
    <cfRule type="cellIs" dxfId="4400" priority="166" operator="equal">
      <formula>"f"</formula>
    </cfRule>
    <cfRule type="cellIs" dxfId="4399" priority="171" operator="equal">
      <formula>9</formula>
    </cfRule>
    <cfRule type="cellIs" dxfId="4398" priority="172" operator="equal">
      <formula>8</formula>
    </cfRule>
    <cfRule type="cellIs" dxfId="4397" priority="173" operator="equal">
      <formula>5</formula>
    </cfRule>
    <cfRule type="cellIs" dxfId="4396" priority="174" operator="equal">
      <formula>3</formula>
    </cfRule>
    <cfRule type="cellIs" dxfId="4395" priority="176" operator="equal">
      <formula>6</formula>
    </cfRule>
    <cfRule type="cellIs" dxfId="4394" priority="177" operator="equal">
      <formula>4</formula>
    </cfRule>
    <cfRule type="cellIs" dxfId="4393" priority="178" operator="equal">
      <formula>2</formula>
    </cfRule>
    <cfRule type="cellIs" dxfId="4392" priority="179" operator="equal">
      <formula>7</formula>
    </cfRule>
    <cfRule type="cellIs" dxfId="4391" priority="180" operator="equal">
      <formula>1</formula>
    </cfRule>
  </conditionalFormatting>
  <conditionalFormatting sqref="C5:C36">
    <cfRule type="expression" dxfId="4390" priority="175">
      <formula>COUNTIF(B5,"6")</formula>
    </cfRule>
  </conditionalFormatting>
  <conditionalFormatting sqref="E5:E36">
    <cfRule type="cellIs" dxfId="4389" priority="146" operator="equal">
      <formula>"a"</formula>
    </cfRule>
    <cfRule type="cellIs" dxfId="4388" priority="147" operator="equal">
      <formula>"k"</formula>
    </cfRule>
    <cfRule type="cellIs" dxfId="4387" priority="148" operator="equal">
      <formula>"u"</formula>
    </cfRule>
    <cfRule type="cellIs" dxfId="4386" priority="149" operator="equal">
      <formula>"f"</formula>
    </cfRule>
    <cfRule type="cellIs" dxfId="4385" priority="150" operator="equal">
      <formula>9</formula>
    </cfRule>
    <cfRule type="cellIs" dxfId="4384" priority="151" operator="equal">
      <formula>8</formula>
    </cfRule>
    <cfRule type="cellIs" dxfId="4383" priority="152" operator="equal">
      <formula>5</formula>
    </cfRule>
    <cfRule type="cellIs" dxfId="4382" priority="153" operator="equal">
      <formula>3</formula>
    </cfRule>
    <cfRule type="cellIs" dxfId="4381" priority="154" operator="equal">
      <formula>6</formula>
    </cfRule>
    <cfRule type="cellIs" dxfId="4380" priority="155" operator="equal">
      <formula>4</formula>
    </cfRule>
    <cfRule type="cellIs" dxfId="4379" priority="156" operator="equal">
      <formula>2</formula>
    </cfRule>
    <cfRule type="cellIs" dxfId="4378" priority="157" operator="equal">
      <formula>7</formula>
    </cfRule>
    <cfRule type="cellIs" dxfId="4377" priority="158" operator="equal">
      <formula>1</formula>
    </cfRule>
  </conditionalFormatting>
  <conditionalFormatting sqref="H5:H36">
    <cfRule type="cellIs" dxfId="4376" priority="133" operator="equal">
      <formula>"a"</formula>
    </cfRule>
    <cfRule type="cellIs" dxfId="4375" priority="134" operator="equal">
      <formula>"k"</formula>
    </cfRule>
    <cfRule type="cellIs" dxfId="4374" priority="135" operator="equal">
      <formula>"u"</formula>
    </cfRule>
    <cfRule type="cellIs" dxfId="4373" priority="136" operator="equal">
      <formula>"f"</formula>
    </cfRule>
    <cfRule type="cellIs" dxfId="4372" priority="137" operator="equal">
      <formula>9</formula>
    </cfRule>
    <cfRule type="cellIs" dxfId="4371" priority="138" operator="equal">
      <formula>8</formula>
    </cfRule>
    <cfRule type="cellIs" dxfId="4370" priority="139" operator="equal">
      <formula>5</formula>
    </cfRule>
    <cfRule type="cellIs" dxfId="4369" priority="140" operator="equal">
      <formula>3</formula>
    </cfRule>
    <cfRule type="cellIs" dxfId="4368" priority="141" operator="equal">
      <formula>6</formula>
    </cfRule>
    <cfRule type="cellIs" dxfId="4367" priority="142" operator="equal">
      <formula>4</formula>
    </cfRule>
    <cfRule type="cellIs" dxfId="4366" priority="143" operator="equal">
      <formula>2</formula>
    </cfRule>
    <cfRule type="cellIs" dxfId="4365" priority="144" operator="equal">
      <formula>7</formula>
    </cfRule>
    <cfRule type="cellIs" dxfId="4364" priority="145" operator="equal">
      <formula>1</formula>
    </cfRule>
  </conditionalFormatting>
  <conditionalFormatting sqref="K5:K36">
    <cfRule type="cellIs" dxfId="4363" priority="120" operator="equal">
      <formula>"a"</formula>
    </cfRule>
    <cfRule type="cellIs" dxfId="4362" priority="121" operator="equal">
      <formula>"k"</formula>
    </cfRule>
    <cfRule type="cellIs" dxfId="4361" priority="122" operator="equal">
      <formula>"u"</formula>
    </cfRule>
    <cfRule type="cellIs" dxfId="4360" priority="123" operator="equal">
      <formula>"f"</formula>
    </cfRule>
    <cfRule type="cellIs" dxfId="4359" priority="124" operator="equal">
      <formula>9</formula>
    </cfRule>
    <cfRule type="cellIs" dxfId="4358" priority="125" operator="equal">
      <formula>8</formula>
    </cfRule>
    <cfRule type="cellIs" dxfId="4357" priority="126" operator="equal">
      <formula>5</formula>
    </cfRule>
    <cfRule type="cellIs" dxfId="4356" priority="127" operator="equal">
      <formula>3</formula>
    </cfRule>
    <cfRule type="cellIs" dxfId="4355" priority="128" operator="equal">
      <formula>6</formula>
    </cfRule>
    <cfRule type="cellIs" dxfId="4354" priority="129" operator="equal">
      <formula>4</formula>
    </cfRule>
    <cfRule type="cellIs" dxfId="4353" priority="130" operator="equal">
      <formula>2</formula>
    </cfRule>
    <cfRule type="cellIs" dxfId="4352" priority="131" operator="equal">
      <formula>7</formula>
    </cfRule>
    <cfRule type="cellIs" dxfId="4351" priority="132" operator="equal">
      <formula>1</formula>
    </cfRule>
  </conditionalFormatting>
  <conditionalFormatting sqref="N5:N36">
    <cfRule type="cellIs" dxfId="4350" priority="107" operator="equal">
      <formula>"a"</formula>
    </cfRule>
    <cfRule type="cellIs" dxfId="4349" priority="108" operator="equal">
      <formula>"k"</formula>
    </cfRule>
    <cfRule type="cellIs" dxfId="4348" priority="109" operator="equal">
      <formula>"u"</formula>
    </cfRule>
    <cfRule type="cellIs" dxfId="4347" priority="110" operator="equal">
      <formula>"f"</formula>
    </cfRule>
    <cfRule type="cellIs" dxfId="4346" priority="111" operator="equal">
      <formula>9</formula>
    </cfRule>
    <cfRule type="cellIs" dxfId="4345" priority="112" operator="equal">
      <formula>8</formula>
    </cfRule>
    <cfRule type="cellIs" dxfId="4344" priority="113" operator="equal">
      <formula>5</formula>
    </cfRule>
    <cfRule type="cellIs" dxfId="4343" priority="114" operator="equal">
      <formula>3</formula>
    </cfRule>
    <cfRule type="cellIs" dxfId="4342" priority="115" operator="equal">
      <formula>6</formula>
    </cfRule>
    <cfRule type="cellIs" dxfId="4341" priority="116" operator="equal">
      <formula>4</formula>
    </cfRule>
    <cfRule type="cellIs" dxfId="4340" priority="117" operator="equal">
      <formula>2</formula>
    </cfRule>
    <cfRule type="cellIs" dxfId="4339" priority="118" operator="equal">
      <formula>7</formula>
    </cfRule>
    <cfRule type="cellIs" dxfId="4338" priority="119" operator="equal">
      <formula>1</formula>
    </cfRule>
  </conditionalFormatting>
  <conditionalFormatting sqref="Q5:Q36">
    <cfRule type="cellIs" dxfId="4337" priority="94" operator="equal">
      <formula>"a"</formula>
    </cfRule>
    <cfRule type="cellIs" dxfId="4336" priority="95" operator="equal">
      <formula>"k"</formula>
    </cfRule>
    <cfRule type="cellIs" dxfId="4335" priority="96" operator="equal">
      <formula>"u"</formula>
    </cfRule>
    <cfRule type="cellIs" dxfId="4334" priority="97" operator="equal">
      <formula>"f"</formula>
    </cfRule>
    <cfRule type="cellIs" dxfId="4333" priority="98" operator="equal">
      <formula>9</formula>
    </cfRule>
    <cfRule type="cellIs" dxfId="4332" priority="99" operator="equal">
      <formula>8</formula>
    </cfRule>
    <cfRule type="cellIs" dxfId="4331" priority="100" operator="equal">
      <formula>5</formula>
    </cfRule>
    <cfRule type="cellIs" dxfId="4330" priority="101" operator="equal">
      <formula>3</formula>
    </cfRule>
    <cfRule type="cellIs" dxfId="4329" priority="102" operator="equal">
      <formula>6</formula>
    </cfRule>
    <cfRule type="cellIs" dxfId="4328" priority="103" operator="equal">
      <formula>4</formula>
    </cfRule>
    <cfRule type="cellIs" dxfId="4327" priority="104" operator="equal">
      <formula>2</formula>
    </cfRule>
    <cfRule type="cellIs" dxfId="4326" priority="105" operator="equal">
      <formula>7</formula>
    </cfRule>
    <cfRule type="cellIs" dxfId="4325" priority="106" operator="equal">
      <formula>1</formula>
    </cfRule>
  </conditionalFormatting>
  <conditionalFormatting sqref="T5:T36">
    <cfRule type="cellIs" dxfId="4324" priority="81" operator="equal">
      <formula>"a"</formula>
    </cfRule>
    <cfRule type="cellIs" dxfId="4323" priority="82" operator="equal">
      <formula>"k"</formula>
    </cfRule>
    <cfRule type="cellIs" dxfId="4322" priority="83" operator="equal">
      <formula>"u"</formula>
    </cfRule>
    <cfRule type="cellIs" dxfId="4321" priority="84" operator="equal">
      <formula>"f"</formula>
    </cfRule>
    <cfRule type="cellIs" dxfId="4320" priority="85" operator="equal">
      <formula>9</formula>
    </cfRule>
    <cfRule type="cellIs" dxfId="4319" priority="86" operator="equal">
      <formula>8</formula>
    </cfRule>
    <cfRule type="cellIs" dxfId="4318" priority="87" operator="equal">
      <formula>5</formula>
    </cfRule>
    <cfRule type="cellIs" dxfId="4317" priority="88" operator="equal">
      <formula>3</formula>
    </cfRule>
    <cfRule type="cellIs" dxfId="4316" priority="89" operator="equal">
      <formula>6</formula>
    </cfRule>
    <cfRule type="cellIs" dxfId="4315" priority="90" operator="equal">
      <formula>4</formula>
    </cfRule>
    <cfRule type="cellIs" dxfId="4314" priority="91" operator="equal">
      <formula>2</formula>
    </cfRule>
    <cfRule type="cellIs" dxfId="4313" priority="92" operator="equal">
      <formula>7</formula>
    </cfRule>
    <cfRule type="cellIs" dxfId="4312" priority="93" operator="equal">
      <formula>1</formula>
    </cfRule>
  </conditionalFormatting>
  <conditionalFormatting sqref="F5:F36">
    <cfRule type="expression" dxfId="4311" priority="68">
      <formula>COUNTIF(E5,"a")</formula>
    </cfRule>
    <cfRule type="expression" dxfId="4310" priority="69">
      <formula>COUNTIF(E5,"9")</formula>
    </cfRule>
    <cfRule type="expression" dxfId="4309" priority="70">
      <formula>COUNTIF(E5,"k")</formula>
    </cfRule>
    <cfRule type="expression" dxfId="4308" priority="71">
      <formula>COUNTIF(E5,"u")</formula>
    </cfRule>
    <cfRule type="expression" dxfId="4307" priority="72">
      <formula>COUNTIF(E5,"f")</formula>
    </cfRule>
    <cfRule type="expression" dxfId="4306" priority="73">
      <formula>COUNTIF(E5,"8")</formula>
    </cfRule>
    <cfRule type="expression" dxfId="4305" priority="74">
      <formula>COUNTIF(E5,"7")</formula>
    </cfRule>
    <cfRule type="expression" dxfId="4304" priority="75">
      <formula>COUNTIF(E5,"3")</formula>
    </cfRule>
    <cfRule type="expression" dxfId="4303" priority="77">
      <formula>COUNTIF(E5,"5")</formula>
    </cfRule>
    <cfRule type="expression" dxfId="4302" priority="78">
      <formula>COUNTIF(E5,"2")</formula>
    </cfRule>
    <cfRule type="expression" dxfId="4301" priority="79">
      <formula>COUNTIF(E5,"4")</formula>
    </cfRule>
    <cfRule type="expression" dxfId="4300" priority="80">
      <formula>COUNTIF(E5,"1")</formula>
    </cfRule>
  </conditionalFormatting>
  <conditionalFormatting sqref="F5:F36">
    <cfRule type="expression" dxfId="4299" priority="76">
      <formula>COUNTIF(E5,"6")</formula>
    </cfRule>
  </conditionalFormatting>
  <conditionalFormatting sqref="I5:I36">
    <cfRule type="expression" dxfId="4298" priority="55">
      <formula>COUNTIF(H5,"a")</formula>
    </cfRule>
    <cfRule type="expression" dxfId="4297" priority="56">
      <formula>COUNTIF(H5,"9")</formula>
    </cfRule>
    <cfRule type="expression" dxfId="4296" priority="57">
      <formula>COUNTIF(H5,"k")</formula>
    </cfRule>
    <cfRule type="expression" dxfId="4295" priority="58">
      <formula>COUNTIF(H5,"u")</formula>
    </cfRule>
    <cfRule type="expression" dxfId="4294" priority="59">
      <formula>COUNTIF(H5,"f")</formula>
    </cfRule>
    <cfRule type="expression" dxfId="4293" priority="60">
      <formula>COUNTIF(H5,"8")</formula>
    </cfRule>
    <cfRule type="expression" dxfId="4292" priority="61">
      <formula>COUNTIF(H5,"7")</formula>
    </cfRule>
    <cfRule type="expression" dxfId="4291" priority="62">
      <formula>COUNTIF(H5,"3")</formula>
    </cfRule>
    <cfRule type="expression" dxfId="4290" priority="64">
      <formula>COUNTIF(H5,"5")</formula>
    </cfRule>
    <cfRule type="expression" dxfId="4289" priority="65">
      <formula>COUNTIF(H5,"2")</formula>
    </cfRule>
    <cfRule type="expression" dxfId="4288" priority="66">
      <formula>COUNTIF(H5,"4")</formula>
    </cfRule>
    <cfRule type="expression" dxfId="4287" priority="67">
      <formula>COUNTIF(H5,"1")</formula>
    </cfRule>
  </conditionalFormatting>
  <conditionalFormatting sqref="I5:I36">
    <cfRule type="expression" dxfId="4286" priority="63">
      <formula>COUNTIF(H5,"6")</formula>
    </cfRule>
  </conditionalFormatting>
  <conditionalFormatting sqref="L5:L36">
    <cfRule type="expression" dxfId="4285" priority="42">
      <formula>COUNTIF(K5,"a")</formula>
    </cfRule>
    <cfRule type="expression" dxfId="4284" priority="43">
      <formula>COUNTIF(K5,"9")</formula>
    </cfRule>
    <cfRule type="expression" dxfId="4283" priority="44">
      <formula>COUNTIF(K5,"k")</formula>
    </cfRule>
    <cfRule type="expression" dxfId="4282" priority="45">
      <formula>COUNTIF(K5,"u")</formula>
    </cfRule>
    <cfRule type="expression" dxfId="4281" priority="46">
      <formula>COUNTIF(K5,"f")</formula>
    </cfRule>
    <cfRule type="expression" dxfId="4280" priority="47">
      <formula>COUNTIF(K5,"8")</formula>
    </cfRule>
    <cfRule type="expression" dxfId="4279" priority="48">
      <formula>COUNTIF(K5,"7")</formula>
    </cfRule>
    <cfRule type="expression" dxfId="4278" priority="49">
      <formula>COUNTIF(K5,"3")</formula>
    </cfRule>
    <cfRule type="expression" dxfId="4277" priority="51">
      <formula>COUNTIF(K5,"5")</formula>
    </cfRule>
    <cfRule type="expression" dxfId="4276" priority="52">
      <formula>COUNTIF(K5,"2")</formula>
    </cfRule>
    <cfRule type="expression" dxfId="4275" priority="53">
      <formula>COUNTIF(K5,"4")</formula>
    </cfRule>
    <cfRule type="expression" dxfId="4274" priority="54">
      <formula>COUNTIF(K5,"1")</formula>
    </cfRule>
  </conditionalFormatting>
  <conditionalFormatting sqref="L5:L36">
    <cfRule type="expression" dxfId="4273" priority="50">
      <formula>COUNTIF(K5,"6")</formula>
    </cfRule>
  </conditionalFormatting>
  <conditionalFormatting sqref="O5:O36">
    <cfRule type="expression" dxfId="4272" priority="29">
      <formula>COUNTIF(N5,"a")</formula>
    </cfRule>
    <cfRule type="expression" dxfId="4271" priority="30">
      <formula>COUNTIF(N5,"9")</formula>
    </cfRule>
    <cfRule type="expression" dxfId="4270" priority="31">
      <formula>COUNTIF(N5,"k")</formula>
    </cfRule>
    <cfRule type="expression" dxfId="4269" priority="32">
      <formula>COUNTIF(N5,"u")</formula>
    </cfRule>
    <cfRule type="expression" dxfId="4268" priority="33">
      <formula>COUNTIF(N5,"f")</formula>
    </cfRule>
    <cfRule type="expression" dxfId="4267" priority="34">
      <formula>COUNTIF(N5,"8")</formula>
    </cfRule>
    <cfRule type="expression" dxfId="4266" priority="35">
      <formula>COUNTIF(N5,"7")</formula>
    </cfRule>
    <cfRule type="expression" dxfId="4265" priority="36">
      <formula>COUNTIF(N5,"3")</formula>
    </cfRule>
    <cfRule type="expression" dxfId="4264" priority="38">
      <formula>COUNTIF(N5,"5")</formula>
    </cfRule>
    <cfRule type="expression" dxfId="4263" priority="39">
      <formula>COUNTIF(N5,"2")</formula>
    </cfRule>
    <cfRule type="expression" dxfId="4262" priority="40">
      <formula>COUNTIF(N5,"4")</formula>
    </cfRule>
    <cfRule type="expression" dxfId="4261" priority="41">
      <formula>COUNTIF(N5,"1")</formula>
    </cfRule>
  </conditionalFormatting>
  <conditionalFormatting sqref="O5:O36">
    <cfRule type="expression" dxfId="4260" priority="37">
      <formula>COUNTIF(N5,"6")</formula>
    </cfRule>
  </conditionalFormatting>
  <conditionalFormatting sqref="R5:R36">
    <cfRule type="expression" dxfId="4259" priority="16">
      <formula>COUNTIF(Q5,"a")</formula>
    </cfRule>
    <cfRule type="expression" dxfId="4258" priority="17">
      <formula>COUNTIF(Q5,"9")</formula>
    </cfRule>
    <cfRule type="expression" dxfId="4257" priority="18">
      <formula>COUNTIF(Q5,"k")</formula>
    </cfRule>
    <cfRule type="expression" dxfId="4256" priority="19">
      <formula>COUNTIF(Q5,"u")</formula>
    </cfRule>
    <cfRule type="expression" dxfId="4255" priority="20">
      <formula>COUNTIF(Q5,"f")</formula>
    </cfRule>
    <cfRule type="expression" dxfId="4254" priority="21">
      <formula>COUNTIF(Q5,"8")</formula>
    </cfRule>
    <cfRule type="expression" dxfId="4253" priority="22">
      <formula>COUNTIF(Q5,"7")</formula>
    </cfRule>
    <cfRule type="expression" dxfId="4252" priority="23">
      <formula>COUNTIF(Q5,"3")</formula>
    </cfRule>
    <cfRule type="expression" dxfId="4251" priority="25">
      <formula>COUNTIF(Q5,"5")</formula>
    </cfRule>
    <cfRule type="expression" dxfId="4250" priority="26">
      <formula>COUNTIF(Q5,"2")</formula>
    </cfRule>
    <cfRule type="expression" dxfId="4249" priority="27">
      <formula>COUNTIF(Q5,"4")</formula>
    </cfRule>
    <cfRule type="expression" dxfId="4248" priority="28">
      <formula>COUNTIF(Q5,"1")</formula>
    </cfRule>
  </conditionalFormatting>
  <conditionalFormatting sqref="R5:R36">
    <cfRule type="expression" dxfId="4247" priority="24">
      <formula>COUNTIF(Q5,"6")</formula>
    </cfRule>
  </conditionalFormatting>
  <conditionalFormatting sqref="U5:U36">
    <cfRule type="expression" dxfId="4246" priority="3">
      <formula>COUNTIF(T5,"a")</formula>
    </cfRule>
    <cfRule type="expression" dxfId="4245" priority="4">
      <formula>COUNTIF(T5,"9")</formula>
    </cfRule>
    <cfRule type="expression" dxfId="4244" priority="5">
      <formula>COUNTIF(T5,"k")</formula>
    </cfRule>
    <cfRule type="expression" dxfId="4243" priority="6">
      <formula>COUNTIF(T5,"u")</formula>
    </cfRule>
    <cfRule type="expression" dxfId="4242" priority="7">
      <formula>COUNTIF(T5,"f")</formula>
    </cfRule>
    <cfRule type="expression" dxfId="4241" priority="8">
      <formula>COUNTIF(T5,"8")</formula>
    </cfRule>
    <cfRule type="expression" dxfId="4240" priority="9">
      <formula>COUNTIF(T5,"7")</formula>
    </cfRule>
    <cfRule type="expression" dxfId="4239" priority="10">
      <formula>COUNTIF(T5,"3")</formula>
    </cfRule>
    <cfRule type="expression" dxfId="4238" priority="12">
      <formula>COUNTIF(T5,"5")</formula>
    </cfRule>
    <cfRule type="expression" dxfId="4237" priority="13">
      <formula>COUNTIF(T5,"2")</formula>
    </cfRule>
    <cfRule type="expression" dxfId="4236" priority="14">
      <formula>COUNTIF(T5,"4")</formula>
    </cfRule>
    <cfRule type="expression" dxfId="4235" priority="15">
      <formula>COUNTIF(T5,"1")</formula>
    </cfRule>
  </conditionalFormatting>
  <conditionalFormatting sqref="U5:U36">
    <cfRule type="expression" dxfId="4234" priority="11">
      <formula>COUNTIF(T5,"6")</formula>
    </cfRule>
  </conditionalFormatting>
  <conditionalFormatting sqref="V32">
    <cfRule type="cellIs" dxfId="4233" priority="1" operator="lessThan">
      <formula>0</formula>
    </cfRule>
    <cfRule type="cellIs" dxfId="423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F6225420-25FF-084A-A754-8DE2C6C54148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740DC-9513-3544-B618-2CBCA4E6D7A9}">
  <sheetPr codeName="Tabelle7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31</v>
      </c>
      <c r="Q1" s="176"/>
      <c r="R1" s="79">
        <f>DATE(V1,1,7*P1-3-WEEKDAY(DATE(V1,,),3))</f>
        <v>45502</v>
      </c>
      <c r="S1" s="80" t="s">
        <v>1</v>
      </c>
      <c r="T1" s="177">
        <f>DATE(V1,1,7*P1+3-WEEKDAY(DATE(V1,,),3))</f>
        <v>45508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45502</v>
      </c>
      <c r="B2" s="178"/>
      <c r="C2" s="178"/>
      <c r="D2" s="178">
        <f>A2+1</f>
        <v>45503</v>
      </c>
      <c r="E2" s="179"/>
      <c r="F2" s="179"/>
      <c r="G2" s="178">
        <f>D2+1</f>
        <v>45504</v>
      </c>
      <c r="H2" s="179"/>
      <c r="I2" s="179"/>
      <c r="J2" s="178">
        <f>G2+1</f>
        <v>45505</v>
      </c>
      <c r="K2" s="179"/>
      <c r="L2" s="179"/>
      <c r="M2" s="178">
        <f>J2+1</f>
        <v>45506</v>
      </c>
      <c r="N2" s="179"/>
      <c r="O2" s="179"/>
      <c r="P2" s="178">
        <f>M2+1</f>
        <v>45507</v>
      </c>
      <c r="Q2" s="179"/>
      <c r="R2" s="179"/>
      <c r="S2" s="178">
        <f>P2+1</f>
        <v>45508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45502</v>
      </c>
      <c r="B3" s="168"/>
      <c r="C3" s="168"/>
      <c r="D3" s="168">
        <f>A3+1</f>
        <v>45503</v>
      </c>
      <c r="E3" s="168"/>
      <c r="F3" s="168"/>
      <c r="G3" s="168">
        <f>D3+1</f>
        <v>45504</v>
      </c>
      <c r="H3" s="168"/>
      <c r="I3" s="168"/>
      <c r="J3" s="168">
        <f>G3+1</f>
        <v>45505</v>
      </c>
      <c r="K3" s="168"/>
      <c r="L3" s="168"/>
      <c r="M3" s="168">
        <f>J3+1</f>
        <v>45506</v>
      </c>
      <c r="N3" s="168"/>
      <c r="O3" s="168"/>
      <c r="P3" s="168">
        <f>M3+1</f>
        <v>45507</v>
      </c>
      <c r="Q3" s="168"/>
      <c r="R3" s="168"/>
      <c r="S3" s="168">
        <f>P3+1</f>
        <v>45508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45502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45503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45504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45505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45506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45507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45508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30'!V32</f>
        <v>-1200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-1240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231" priority="159">
      <formula>COUNTIF(B5,"a")</formula>
    </cfRule>
    <cfRule type="expression" dxfId="4230" priority="161">
      <formula>COUNTIF(B5,"9")</formula>
    </cfRule>
    <cfRule type="expression" dxfId="4229" priority="163">
      <formula>COUNTIF(B5,"k")</formula>
    </cfRule>
    <cfRule type="expression" dxfId="4228" priority="164">
      <formula>COUNTIF(B5,"u")</formula>
    </cfRule>
    <cfRule type="expression" dxfId="4227" priority="167">
      <formula>COUNTIF(B5,"f")</formula>
    </cfRule>
    <cfRule type="expression" dxfId="4226" priority="168">
      <formula>COUNTIF(B5,"8")</formula>
    </cfRule>
    <cfRule type="expression" dxfId="4225" priority="169">
      <formula>COUNTIF(B5,"7")</formula>
    </cfRule>
    <cfRule type="expression" dxfId="4224" priority="170">
      <formula>COUNTIF(B5,"3")</formula>
    </cfRule>
    <cfRule type="expression" dxfId="4223" priority="181">
      <formula>COUNTIF(B5,"5")</formula>
    </cfRule>
    <cfRule type="expression" dxfId="4222" priority="182">
      <formula>COUNTIF(B5,"2")</formula>
    </cfRule>
    <cfRule type="expression" dxfId="4221" priority="183">
      <formula>COUNTIF(B5,"4")</formula>
    </cfRule>
    <cfRule type="expression" dxfId="4220" priority="184">
      <formula>COUNTIF(B5,"1")</formula>
    </cfRule>
  </conditionalFormatting>
  <conditionalFormatting sqref="B5:B36">
    <cfRule type="cellIs" dxfId="4219" priority="160" operator="equal">
      <formula>"a"</formula>
    </cfRule>
    <cfRule type="cellIs" dxfId="4218" priority="162" operator="equal">
      <formula>"k"</formula>
    </cfRule>
    <cfRule type="cellIs" dxfId="4217" priority="165" operator="equal">
      <formula>"u"</formula>
    </cfRule>
    <cfRule type="cellIs" dxfId="4216" priority="166" operator="equal">
      <formula>"f"</formula>
    </cfRule>
    <cfRule type="cellIs" dxfId="4215" priority="171" operator="equal">
      <formula>9</formula>
    </cfRule>
    <cfRule type="cellIs" dxfId="4214" priority="172" operator="equal">
      <formula>8</formula>
    </cfRule>
    <cfRule type="cellIs" dxfId="4213" priority="173" operator="equal">
      <formula>5</formula>
    </cfRule>
    <cfRule type="cellIs" dxfId="4212" priority="174" operator="equal">
      <formula>3</formula>
    </cfRule>
    <cfRule type="cellIs" dxfId="4211" priority="176" operator="equal">
      <formula>6</formula>
    </cfRule>
    <cfRule type="cellIs" dxfId="4210" priority="177" operator="equal">
      <formula>4</formula>
    </cfRule>
    <cfRule type="cellIs" dxfId="4209" priority="178" operator="equal">
      <formula>2</formula>
    </cfRule>
    <cfRule type="cellIs" dxfId="4208" priority="179" operator="equal">
      <formula>7</formula>
    </cfRule>
    <cfRule type="cellIs" dxfId="4207" priority="180" operator="equal">
      <formula>1</formula>
    </cfRule>
  </conditionalFormatting>
  <conditionalFormatting sqref="C5:C36">
    <cfRule type="expression" dxfId="4206" priority="175">
      <formula>COUNTIF(B5,"6")</formula>
    </cfRule>
  </conditionalFormatting>
  <conditionalFormatting sqref="E5:E36">
    <cfRule type="cellIs" dxfId="4205" priority="146" operator="equal">
      <formula>"a"</formula>
    </cfRule>
    <cfRule type="cellIs" dxfId="4204" priority="147" operator="equal">
      <formula>"k"</formula>
    </cfRule>
    <cfRule type="cellIs" dxfId="4203" priority="148" operator="equal">
      <formula>"u"</formula>
    </cfRule>
    <cfRule type="cellIs" dxfId="4202" priority="149" operator="equal">
      <formula>"f"</formula>
    </cfRule>
    <cfRule type="cellIs" dxfId="4201" priority="150" operator="equal">
      <formula>9</formula>
    </cfRule>
    <cfRule type="cellIs" dxfId="4200" priority="151" operator="equal">
      <formula>8</formula>
    </cfRule>
    <cfRule type="cellIs" dxfId="4199" priority="152" operator="equal">
      <formula>5</formula>
    </cfRule>
    <cfRule type="cellIs" dxfId="4198" priority="153" operator="equal">
      <formula>3</formula>
    </cfRule>
    <cfRule type="cellIs" dxfId="4197" priority="154" operator="equal">
      <formula>6</formula>
    </cfRule>
    <cfRule type="cellIs" dxfId="4196" priority="155" operator="equal">
      <formula>4</formula>
    </cfRule>
    <cfRule type="cellIs" dxfId="4195" priority="156" operator="equal">
      <formula>2</formula>
    </cfRule>
    <cfRule type="cellIs" dxfId="4194" priority="157" operator="equal">
      <formula>7</formula>
    </cfRule>
    <cfRule type="cellIs" dxfId="4193" priority="158" operator="equal">
      <formula>1</formula>
    </cfRule>
  </conditionalFormatting>
  <conditionalFormatting sqref="H5:H36">
    <cfRule type="cellIs" dxfId="4192" priority="133" operator="equal">
      <formula>"a"</formula>
    </cfRule>
    <cfRule type="cellIs" dxfId="4191" priority="134" operator="equal">
      <formula>"k"</formula>
    </cfRule>
    <cfRule type="cellIs" dxfId="4190" priority="135" operator="equal">
      <formula>"u"</formula>
    </cfRule>
    <cfRule type="cellIs" dxfId="4189" priority="136" operator="equal">
      <formula>"f"</formula>
    </cfRule>
    <cfRule type="cellIs" dxfId="4188" priority="137" operator="equal">
      <formula>9</formula>
    </cfRule>
    <cfRule type="cellIs" dxfId="4187" priority="138" operator="equal">
      <formula>8</formula>
    </cfRule>
    <cfRule type="cellIs" dxfId="4186" priority="139" operator="equal">
      <formula>5</formula>
    </cfRule>
    <cfRule type="cellIs" dxfId="4185" priority="140" operator="equal">
      <formula>3</formula>
    </cfRule>
    <cfRule type="cellIs" dxfId="4184" priority="141" operator="equal">
      <formula>6</formula>
    </cfRule>
    <cfRule type="cellIs" dxfId="4183" priority="142" operator="equal">
      <formula>4</formula>
    </cfRule>
    <cfRule type="cellIs" dxfId="4182" priority="143" operator="equal">
      <formula>2</formula>
    </cfRule>
    <cfRule type="cellIs" dxfId="4181" priority="144" operator="equal">
      <formula>7</formula>
    </cfRule>
    <cfRule type="cellIs" dxfId="4180" priority="145" operator="equal">
      <formula>1</formula>
    </cfRule>
  </conditionalFormatting>
  <conditionalFormatting sqref="K5:K36">
    <cfRule type="cellIs" dxfId="4179" priority="120" operator="equal">
      <formula>"a"</formula>
    </cfRule>
    <cfRule type="cellIs" dxfId="4178" priority="121" operator="equal">
      <formula>"k"</formula>
    </cfRule>
    <cfRule type="cellIs" dxfId="4177" priority="122" operator="equal">
      <formula>"u"</formula>
    </cfRule>
    <cfRule type="cellIs" dxfId="4176" priority="123" operator="equal">
      <formula>"f"</formula>
    </cfRule>
    <cfRule type="cellIs" dxfId="4175" priority="124" operator="equal">
      <formula>9</formula>
    </cfRule>
    <cfRule type="cellIs" dxfId="4174" priority="125" operator="equal">
      <formula>8</formula>
    </cfRule>
    <cfRule type="cellIs" dxfId="4173" priority="126" operator="equal">
      <formula>5</formula>
    </cfRule>
    <cfRule type="cellIs" dxfId="4172" priority="127" operator="equal">
      <formula>3</formula>
    </cfRule>
    <cfRule type="cellIs" dxfId="4171" priority="128" operator="equal">
      <formula>6</formula>
    </cfRule>
    <cfRule type="cellIs" dxfId="4170" priority="129" operator="equal">
      <formula>4</formula>
    </cfRule>
    <cfRule type="cellIs" dxfId="4169" priority="130" operator="equal">
      <formula>2</formula>
    </cfRule>
    <cfRule type="cellIs" dxfId="4168" priority="131" operator="equal">
      <formula>7</formula>
    </cfRule>
    <cfRule type="cellIs" dxfId="4167" priority="132" operator="equal">
      <formula>1</formula>
    </cfRule>
  </conditionalFormatting>
  <conditionalFormatting sqref="N5:N36">
    <cfRule type="cellIs" dxfId="4166" priority="107" operator="equal">
      <formula>"a"</formula>
    </cfRule>
    <cfRule type="cellIs" dxfId="4165" priority="108" operator="equal">
      <formula>"k"</formula>
    </cfRule>
    <cfRule type="cellIs" dxfId="4164" priority="109" operator="equal">
      <formula>"u"</formula>
    </cfRule>
    <cfRule type="cellIs" dxfId="4163" priority="110" operator="equal">
      <formula>"f"</formula>
    </cfRule>
    <cfRule type="cellIs" dxfId="4162" priority="111" operator="equal">
      <formula>9</formula>
    </cfRule>
    <cfRule type="cellIs" dxfId="4161" priority="112" operator="equal">
      <formula>8</formula>
    </cfRule>
    <cfRule type="cellIs" dxfId="4160" priority="113" operator="equal">
      <formula>5</formula>
    </cfRule>
    <cfRule type="cellIs" dxfId="4159" priority="114" operator="equal">
      <formula>3</formula>
    </cfRule>
    <cfRule type="cellIs" dxfId="4158" priority="115" operator="equal">
      <formula>6</formula>
    </cfRule>
    <cfRule type="cellIs" dxfId="4157" priority="116" operator="equal">
      <formula>4</formula>
    </cfRule>
    <cfRule type="cellIs" dxfId="4156" priority="117" operator="equal">
      <formula>2</formula>
    </cfRule>
    <cfRule type="cellIs" dxfId="4155" priority="118" operator="equal">
      <formula>7</formula>
    </cfRule>
    <cfRule type="cellIs" dxfId="4154" priority="119" operator="equal">
      <formula>1</formula>
    </cfRule>
  </conditionalFormatting>
  <conditionalFormatting sqref="Q5:Q36">
    <cfRule type="cellIs" dxfId="4153" priority="94" operator="equal">
      <formula>"a"</formula>
    </cfRule>
    <cfRule type="cellIs" dxfId="4152" priority="95" operator="equal">
      <formula>"k"</formula>
    </cfRule>
    <cfRule type="cellIs" dxfId="4151" priority="96" operator="equal">
      <formula>"u"</formula>
    </cfRule>
    <cfRule type="cellIs" dxfId="4150" priority="97" operator="equal">
      <formula>"f"</formula>
    </cfRule>
    <cfRule type="cellIs" dxfId="4149" priority="98" operator="equal">
      <formula>9</formula>
    </cfRule>
    <cfRule type="cellIs" dxfId="4148" priority="99" operator="equal">
      <formula>8</formula>
    </cfRule>
    <cfRule type="cellIs" dxfId="4147" priority="100" operator="equal">
      <formula>5</formula>
    </cfRule>
    <cfRule type="cellIs" dxfId="4146" priority="101" operator="equal">
      <formula>3</formula>
    </cfRule>
    <cfRule type="cellIs" dxfId="4145" priority="102" operator="equal">
      <formula>6</formula>
    </cfRule>
    <cfRule type="cellIs" dxfId="4144" priority="103" operator="equal">
      <formula>4</formula>
    </cfRule>
    <cfRule type="cellIs" dxfId="4143" priority="104" operator="equal">
      <formula>2</formula>
    </cfRule>
    <cfRule type="cellIs" dxfId="4142" priority="105" operator="equal">
      <formula>7</formula>
    </cfRule>
    <cfRule type="cellIs" dxfId="4141" priority="106" operator="equal">
      <formula>1</formula>
    </cfRule>
  </conditionalFormatting>
  <conditionalFormatting sqref="T5:T36">
    <cfRule type="cellIs" dxfId="4140" priority="81" operator="equal">
      <formula>"a"</formula>
    </cfRule>
    <cfRule type="cellIs" dxfId="4139" priority="82" operator="equal">
      <formula>"k"</formula>
    </cfRule>
    <cfRule type="cellIs" dxfId="4138" priority="83" operator="equal">
      <formula>"u"</formula>
    </cfRule>
    <cfRule type="cellIs" dxfId="4137" priority="84" operator="equal">
      <formula>"f"</formula>
    </cfRule>
    <cfRule type="cellIs" dxfId="4136" priority="85" operator="equal">
      <formula>9</formula>
    </cfRule>
    <cfRule type="cellIs" dxfId="4135" priority="86" operator="equal">
      <formula>8</formula>
    </cfRule>
    <cfRule type="cellIs" dxfId="4134" priority="87" operator="equal">
      <formula>5</formula>
    </cfRule>
    <cfRule type="cellIs" dxfId="4133" priority="88" operator="equal">
      <formula>3</formula>
    </cfRule>
    <cfRule type="cellIs" dxfId="4132" priority="89" operator="equal">
      <formula>6</formula>
    </cfRule>
    <cfRule type="cellIs" dxfId="4131" priority="90" operator="equal">
      <formula>4</formula>
    </cfRule>
    <cfRule type="cellIs" dxfId="4130" priority="91" operator="equal">
      <formula>2</formula>
    </cfRule>
    <cfRule type="cellIs" dxfId="4129" priority="92" operator="equal">
      <formula>7</formula>
    </cfRule>
    <cfRule type="cellIs" dxfId="4128" priority="93" operator="equal">
      <formula>1</formula>
    </cfRule>
  </conditionalFormatting>
  <conditionalFormatting sqref="F5:F36">
    <cfRule type="expression" dxfId="4127" priority="68">
      <formula>COUNTIF(E5,"a")</formula>
    </cfRule>
    <cfRule type="expression" dxfId="4126" priority="69">
      <formula>COUNTIF(E5,"9")</formula>
    </cfRule>
    <cfRule type="expression" dxfId="4125" priority="70">
      <formula>COUNTIF(E5,"k")</formula>
    </cfRule>
    <cfRule type="expression" dxfId="4124" priority="71">
      <formula>COUNTIF(E5,"u")</formula>
    </cfRule>
    <cfRule type="expression" dxfId="4123" priority="72">
      <formula>COUNTIF(E5,"f")</formula>
    </cfRule>
    <cfRule type="expression" dxfId="4122" priority="73">
      <formula>COUNTIF(E5,"8")</formula>
    </cfRule>
    <cfRule type="expression" dxfId="4121" priority="74">
      <formula>COUNTIF(E5,"7")</formula>
    </cfRule>
    <cfRule type="expression" dxfId="4120" priority="75">
      <formula>COUNTIF(E5,"3")</formula>
    </cfRule>
    <cfRule type="expression" dxfId="4119" priority="77">
      <formula>COUNTIF(E5,"5")</formula>
    </cfRule>
    <cfRule type="expression" dxfId="4118" priority="78">
      <formula>COUNTIF(E5,"2")</formula>
    </cfRule>
    <cfRule type="expression" dxfId="4117" priority="79">
      <formula>COUNTIF(E5,"4")</formula>
    </cfRule>
    <cfRule type="expression" dxfId="4116" priority="80">
      <formula>COUNTIF(E5,"1")</formula>
    </cfRule>
  </conditionalFormatting>
  <conditionalFormatting sqref="F5:F36">
    <cfRule type="expression" dxfId="4115" priority="76">
      <formula>COUNTIF(E5,"6")</formula>
    </cfRule>
  </conditionalFormatting>
  <conditionalFormatting sqref="I5:I36">
    <cfRule type="expression" dxfId="4114" priority="55">
      <formula>COUNTIF(H5,"a")</formula>
    </cfRule>
    <cfRule type="expression" dxfId="4113" priority="56">
      <formula>COUNTIF(H5,"9")</formula>
    </cfRule>
    <cfRule type="expression" dxfId="4112" priority="57">
      <formula>COUNTIF(H5,"k")</formula>
    </cfRule>
    <cfRule type="expression" dxfId="4111" priority="58">
      <formula>COUNTIF(H5,"u")</formula>
    </cfRule>
    <cfRule type="expression" dxfId="4110" priority="59">
      <formula>COUNTIF(H5,"f")</formula>
    </cfRule>
    <cfRule type="expression" dxfId="4109" priority="60">
      <formula>COUNTIF(H5,"8")</formula>
    </cfRule>
    <cfRule type="expression" dxfId="4108" priority="61">
      <formula>COUNTIF(H5,"7")</formula>
    </cfRule>
    <cfRule type="expression" dxfId="4107" priority="62">
      <formula>COUNTIF(H5,"3")</formula>
    </cfRule>
    <cfRule type="expression" dxfId="4106" priority="64">
      <formula>COUNTIF(H5,"5")</formula>
    </cfRule>
    <cfRule type="expression" dxfId="4105" priority="65">
      <formula>COUNTIF(H5,"2")</formula>
    </cfRule>
    <cfRule type="expression" dxfId="4104" priority="66">
      <formula>COUNTIF(H5,"4")</formula>
    </cfRule>
    <cfRule type="expression" dxfId="4103" priority="67">
      <formula>COUNTIF(H5,"1")</formula>
    </cfRule>
  </conditionalFormatting>
  <conditionalFormatting sqref="I5:I36">
    <cfRule type="expression" dxfId="4102" priority="63">
      <formula>COUNTIF(H5,"6")</formula>
    </cfRule>
  </conditionalFormatting>
  <conditionalFormatting sqref="L5:L36">
    <cfRule type="expression" dxfId="4101" priority="42">
      <formula>COUNTIF(K5,"a")</formula>
    </cfRule>
    <cfRule type="expression" dxfId="4100" priority="43">
      <formula>COUNTIF(K5,"9")</formula>
    </cfRule>
    <cfRule type="expression" dxfId="4099" priority="44">
      <formula>COUNTIF(K5,"k")</formula>
    </cfRule>
    <cfRule type="expression" dxfId="4098" priority="45">
      <formula>COUNTIF(K5,"u")</formula>
    </cfRule>
    <cfRule type="expression" dxfId="4097" priority="46">
      <formula>COUNTIF(K5,"f")</formula>
    </cfRule>
    <cfRule type="expression" dxfId="4096" priority="47">
      <formula>COUNTIF(K5,"8")</formula>
    </cfRule>
    <cfRule type="expression" dxfId="4095" priority="48">
      <formula>COUNTIF(K5,"7")</formula>
    </cfRule>
    <cfRule type="expression" dxfId="4094" priority="49">
      <formula>COUNTIF(K5,"3")</formula>
    </cfRule>
    <cfRule type="expression" dxfId="4093" priority="51">
      <formula>COUNTIF(K5,"5")</formula>
    </cfRule>
    <cfRule type="expression" dxfId="4092" priority="52">
      <formula>COUNTIF(K5,"2")</formula>
    </cfRule>
    <cfRule type="expression" dxfId="4091" priority="53">
      <formula>COUNTIF(K5,"4")</formula>
    </cfRule>
    <cfRule type="expression" dxfId="4090" priority="54">
      <formula>COUNTIF(K5,"1")</formula>
    </cfRule>
  </conditionalFormatting>
  <conditionalFormatting sqref="L5:L36">
    <cfRule type="expression" dxfId="4089" priority="50">
      <formula>COUNTIF(K5,"6")</formula>
    </cfRule>
  </conditionalFormatting>
  <conditionalFormatting sqref="O5:O36">
    <cfRule type="expression" dxfId="4088" priority="29">
      <formula>COUNTIF(N5,"a")</formula>
    </cfRule>
    <cfRule type="expression" dxfId="4087" priority="30">
      <formula>COUNTIF(N5,"9")</formula>
    </cfRule>
    <cfRule type="expression" dxfId="4086" priority="31">
      <formula>COUNTIF(N5,"k")</formula>
    </cfRule>
    <cfRule type="expression" dxfId="4085" priority="32">
      <formula>COUNTIF(N5,"u")</formula>
    </cfRule>
    <cfRule type="expression" dxfId="4084" priority="33">
      <formula>COUNTIF(N5,"f")</formula>
    </cfRule>
    <cfRule type="expression" dxfId="4083" priority="34">
      <formula>COUNTIF(N5,"8")</formula>
    </cfRule>
    <cfRule type="expression" dxfId="4082" priority="35">
      <formula>COUNTIF(N5,"7")</formula>
    </cfRule>
    <cfRule type="expression" dxfId="4081" priority="36">
      <formula>COUNTIF(N5,"3")</formula>
    </cfRule>
    <cfRule type="expression" dxfId="4080" priority="38">
      <formula>COUNTIF(N5,"5")</formula>
    </cfRule>
    <cfRule type="expression" dxfId="4079" priority="39">
      <formula>COUNTIF(N5,"2")</formula>
    </cfRule>
    <cfRule type="expression" dxfId="4078" priority="40">
      <formula>COUNTIF(N5,"4")</formula>
    </cfRule>
    <cfRule type="expression" dxfId="4077" priority="41">
      <formula>COUNTIF(N5,"1")</formula>
    </cfRule>
  </conditionalFormatting>
  <conditionalFormatting sqref="O5:O36">
    <cfRule type="expression" dxfId="4076" priority="37">
      <formula>COUNTIF(N5,"6")</formula>
    </cfRule>
  </conditionalFormatting>
  <conditionalFormatting sqref="R5:R36">
    <cfRule type="expression" dxfId="4075" priority="16">
      <formula>COUNTIF(Q5,"a")</formula>
    </cfRule>
    <cfRule type="expression" dxfId="4074" priority="17">
      <formula>COUNTIF(Q5,"9")</formula>
    </cfRule>
    <cfRule type="expression" dxfId="4073" priority="18">
      <formula>COUNTIF(Q5,"k")</formula>
    </cfRule>
    <cfRule type="expression" dxfId="4072" priority="19">
      <formula>COUNTIF(Q5,"u")</formula>
    </cfRule>
    <cfRule type="expression" dxfId="4071" priority="20">
      <formula>COUNTIF(Q5,"f")</formula>
    </cfRule>
    <cfRule type="expression" dxfId="4070" priority="21">
      <formula>COUNTIF(Q5,"8")</formula>
    </cfRule>
    <cfRule type="expression" dxfId="4069" priority="22">
      <formula>COUNTIF(Q5,"7")</formula>
    </cfRule>
    <cfRule type="expression" dxfId="4068" priority="23">
      <formula>COUNTIF(Q5,"3")</formula>
    </cfRule>
    <cfRule type="expression" dxfId="4067" priority="25">
      <formula>COUNTIF(Q5,"5")</formula>
    </cfRule>
    <cfRule type="expression" dxfId="4066" priority="26">
      <formula>COUNTIF(Q5,"2")</formula>
    </cfRule>
    <cfRule type="expression" dxfId="4065" priority="27">
      <formula>COUNTIF(Q5,"4")</formula>
    </cfRule>
    <cfRule type="expression" dxfId="4064" priority="28">
      <formula>COUNTIF(Q5,"1")</formula>
    </cfRule>
  </conditionalFormatting>
  <conditionalFormatting sqref="R5:R36">
    <cfRule type="expression" dxfId="4063" priority="24">
      <formula>COUNTIF(Q5,"6")</formula>
    </cfRule>
  </conditionalFormatting>
  <conditionalFormatting sqref="U5:U36">
    <cfRule type="expression" dxfId="4062" priority="3">
      <formula>COUNTIF(T5,"a")</formula>
    </cfRule>
    <cfRule type="expression" dxfId="4061" priority="4">
      <formula>COUNTIF(T5,"9")</formula>
    </cfRule>
    <cfRule type="expression" dxfId="4060" priority="5">
      <formula>COUNTIF(T5,"k")</formula>
    </cfRule>
    <cfRule type="expression" dxfId="4059" priority="6">
      <formula>COUNTIF(T5,"u")</formula>
    </cfRule>
    <cfRule type="expression" dxfId="4058" priority="7">
      <formula>COUNTIF(T5,"f")</formula>
    </cfRule>
    <cfRule type="expression" dxfId="4057" priority="8">
      <formula>COUNTIF(T5,"8")</formula>
    </cfRule>
    <cfRule type="expression" dxfId="4056" priority="9">
      <formula>COUNTIF(T5,"7")</formula>
    </cfRule>
    <cfRule type="expression" dxfId="4055" priority="10">
      <formula>COUNTIF(T5,"3")</formula>
    </cfRule>
    <cfRule type="expression" dxfId="4054" priority="12">
      <formula>COUNTIF(T5,"5")</formula>
    </cfRule>
    <cfRule type="expression" dxfId="4053" priority="13">
      <formula>COUNTIF(T5,"2")</formula>
    </cfRule>
    <cfRule type="expression" dxfId="4052" priority="14">
      <formula>COUNTIF(T5,"4")</formula>
    </cfRule>
    <cfRule type="expression" dxfId="4051" priority="15">
      <formula>COUNTIF(T5,"1")</formula>
    </cfRule>
  </conditionalFormatting>
  <conditionalFormatting sqref="U5:U36">
    <cfRule type="expression" dxfId="4050" priority="11">
      <formula>COUNTIF(T5,"6")</formula>
    </cfRule>
  </conditionalFormatting>
  <conditionalFormatting sqref="V32">
    <cfRule type="cellIs" dxfId="4049" priority="1" operator="lessThan">
      <formula>0</formula>
    </cfRule>
    <cfRule type="cellIs" dxfId="404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58434F41-6C5A-714D-94AD-86381E3AB9C4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A3629-EADE-D74F-A17D-F3552F2EB552}">
  <sheetPr codeName="Tabelle7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32</v>
      </c>
      <c r="Q1" s="176"/>
      <c r="R1" s="79">
        <f>DATE(V1,1,7*P1-3-WEEKDAY(DATE(V1,,),3))</f>
        <v>45509</v>
      </c>
      <c r="S1" s="80" t="s">
        <v>1</v>
      </c>
      <c r="T1" s="177">
        <f>DATE(V1,1,7*P1+3-WEEKDAY(DATE(V1,,),3))</f>
        <v>45515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45509</v>
      </c>
      <c r="B2" s="178"/>
      <c r="C2" s="178"/>
      <c r="D2" s="178">
        <f>A2+1</f>
        <v>45510</v>
      </c>
      <c r="E2" s="179"/>
      <c r="F2" s="179"/>
      <c r="G2" s="178">
        <f>D2+1</f>
        <v>45511</v>
      </c>
      <c r="H2" s="179"/>
      <c r="I2" s="179"/>
      <c r="J2" s="178">
        <f>G2+1</f>
        <v>45512</v>
      </c>
      <c r="K2" s="179"/>
      <c r="L2" s="179"/>
      <c r="M2" s="178">
        <f>J2+1</f>
        <v>45513</v>
      </c>
      <c r="N2" s="179"/>
      <c r="O2" s="179"/>
      <c r="P2" s="178">
        <f>M2+1</f>
        <v>45514</v>
      </c>
      <c r="Q2" s="179"/>
      <c r="R2" s="179"/>
      <c r="S2" s="178">
        <f>P2+1</f>
        <v>45515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45509</v>
      </c>
      <c r="B3" s="168"/>
      <c r="C3" s="168"/>
      <c r="D3" s="168">
        <f>A3+1</f>
        <v>45510</v>
      </c>
      <c r="E3" s="168"/>
      <c r="F3" s="168"/>
      <c r="G3" s="168">
        <f>D3+1</f>
        <v>45511</v>
      </c>
      <c r="H3" s="168"/>
      <c r="I3" s="168"/>
      <c r="J3" s="168">
        <f>G3+1</f>
        <v>45512</v>
      </c>
      <c r="K3" s="168"/>
      <c r="L3" s="168"/>
      <c r="M3" s="168">
        <f>J3+1</f>
        <v>45513</v>
      </c>
      <c r="N3" s="168"/>
      <c r="O3" s="168"/>
      <c r="P3" s="168">
        <f>M3+1</f>
        <v>45514</v>
      </c>
      <c r="Q3" s="168"/>
      <c r="R3" s="168"/>
      <c r="S3" s="168">
        <f>P3+1</f>
        <v>45515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45509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45510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45511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45512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45513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45514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45515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31'!V32</f>
        <v>-1240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-1280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4047" priority="159">
      <formula>COUNTIF(B5,"a")</formula>
    </cfRule>
    <cfRule type="expression" dxfId="4046" priority="161">
      <formula>COUNTIF(B5,"9")</formula>
    </cfRule>
    <cfRule type="expression" dxfId="4045" priority="163">
      <formula>COUNTIF(B5,"k")</formula>
    </cfRule>
    <cfRule type="expression" dxfId="4044" priority="164">
      <formula>COUNTIF(B5,"u")</formula>
    </cfRule>
    <cfRule type="expression" dxfId="4043" priority="167">
      <formula>COUNTIF(B5,"f")</formula>
    </cfRule>
    <cfRule type="expression" dxfId="4042" priority="168">
      <formula>COUNTIF(B5,"8")</formula>
    </cfRule>
    <cfRule type="expression" dxfId="4041" priority="169">
      <formula>COUNTIF(B5,"7")</formula>
    </cfRule>
    <cfRule type="expression" dxfId="4040" priority="170">
      <formula>COUNTIF(B5,"3")</formula>
    </cfRule>
    <cfRule type="expression" dxfId="4039" priority="181">
      <formula>COUNTIF(B5,"5")</formula>
    </cfRule>
    <cfRule type="expression" dxfId="4038" priority="182">
      <formula>COUNTIF(B5,"2")</formula>
    </cfRule>
    <cfRule type="expression" dxfId="4037" priority="183">
      <formula>COUNTIF(B5,"4")</formula>
    </cfRule>
    <cfRule type="expression" dxfId="4036" priority="184">
      <formula>COUNTIF(B5,"1")</formula>
    </cfRule>
  </conditionalFormatting>
  <conditionalFormatting sqref="B5:B36">
    <cfRule type="cellIs" dxfId="4035" priority="160" operator="equal">
      <formula>"a"</formula>
    </cfRule>
    <cfRule type="cellIs" dxfId="4034" priority="162" operator="equal">
      <formula>"k"</formula>
    </cfRule>
    <cfRule type="cellIs" dxfId="4033" priority="165" operator="equal">
      <formula>"u"</formula>
    </cfRule>
    <cfRule type="cellIs" dxfId="4032" priority="166" operator="equal">
      <formula>"f"</formula>
    </cfRule>
    <cfRule type="cellIs" dxfId="4031" priority="171" operator="equal">
      <formula>9</formula>
    </cfRule>
    <cfRule type="cellIs" dxfId="4030" priority="172" operator="equal">
      <formula>8</formula>
    </cfRule>
    <cfRule type="cellIs" dxfId="4029" priority="173" operator="equal">
      <formula>5</formula>
    </cfRule>
    <cfRule type="cellIs" dxfId="4028" priority="174" operator="equal">
      <formula>3</formula>
    </cfRule>
    <cfRule type="cellIs" dxfId="4027" priority="176" operator="equal">
      <formula>6</formula>
    </cfRule>
    <cfRule type="cellIs" dxfId="4026" priority="177" operator="equal">
      <formula>4</formula>
    </cfRule>
    <cfRule type="cellIs" dxfId="4025" priority="178" operator="equal">
      <formula>2</formula>
    </cfRule>
    <cfRule type="cellIs" dxfId="4024" priority="179" operator="equal">
      <formula>7</formula>
    </cfRule>
    <cfRule type="cellIs" dxfId="4023" priority="180" operator="equal">
      <formula>1</formula>
    </cfRule>
  </conditionalFormatting>
  <conditionalFormatting sqref="C5:C36">
    <cfRule type="expression" dxfId="4022" priority="175">
      <formula>COUNTIF(B5,"6")</formula>
    </cfRule>
  </conditionalFormatting>
  <conditionalFormatting sqref="E5:E36">
    <cfRule type="cellIs" dxfId="4021" priority="146" operator="equal">
      <formula>"a"</formula>
    </cfRule>
    <cfRule type="cellIs" dxfId="4020" priority="147" operator="equal">
      <formula>"k"</formula>
    </cfRule>
    <cfRule type="cellIs" dxfId="4019" priority="148" operator="equal">
      <formula>"u"</formula>
    </cfRule>
    <cfRule type="cellIs" dxfId="4018" priority="149" operator="equal">
      <formula>"f"</formula>
    </cfRule>
    <cfRule type="cellIs" dxfId="4017" priority="150" operator="equal">
      <formula>9</formula>
    </cfRule>
    <cfRule type="cellIs" dxfId="4016" priority="151" operator="equal">
      <formula>8</formula>
    </cfRule>
    <cfRule type="cellIs" dxfId="4015" priority="152" operator="equal">
      <formula>5</formula>
    </cfRule>
    <cfRule type="cellIs" dxfId="4014" priority="153" operator="equal">
      <formula>3</formula>
    </cfRule>
    <cfRule type="cellIs" dxfId="4013" priority="154" operator="equal">
      <formula>6</formula>
    </cfRule>
    <cfRule type="cellIs" dxfId="4012" priority="155" operator="equal">
      <formula>4</formula>
    </cfRule>
    <cfRule type="cellIs" dxfId="4011" priority="156" operator="equal">
      <formula>2</formula>
    </cfRule>
    <cfRule type="cellIs" dxfId="4010" priority="157" operator="equal">
      <formula>7</formula>
    </cfRule>
    <cfRule type="cellIs" dxfId="4009" priority="158" operator="equal">
      <formula>1</formula>
    </cfRule>
  </conditionalFormatting>
  <conditionalFormatting sqref="H5:H36">
    <cfRule type="cellIs" dxfId="4008" priority="133" operator="equal">
      <formula>"a"</formula>
    </cfRule>
    <cfRule type="cellIs" dxfId="4007" priority="134" operator="equal">
      <formula>"k"</formula>
    </cfRule>
    <cfRule type="cellIs" dxfId="4006" priority="135" operator="equal">
      <formula>"u"</formula>
    </cfRule>
    <cfRule type="cellIs" dxfId="4005" priority="136" operator="equal">
      <formula>"f"</formula>
    </cfRule>
    <cfRule type="cellIs" dxfId="4004" priority="137" operator="equal">
      <formula>9</formula>
    </cfRule>
    <cfRule type="cellIs" dxfId="4003" priority="138" operator="equal">
      <formula>8</formula>
    </cfRule>
    <cfRule type="cellIs" dxfId="4002" priority="139" operator="equal">
      <formula>5</formula>
    </cfRule>
    <cfRule type="cellIs" dxfId="4001" priority="140" operator="equal">
      <formula>3</formula>
    </cfRule>
    <cfRule type="cellIs" dxfId="4000" priority="141" operator="equal">
      <formula>6</formula>
    </cfRule>
    <cfRule type="cellIs" dxfId="3999" priority="142" operator="equal">
      <formula>4</formula>
    </cfRule>
    <cfRule type="cellIs" dxfId="3998" priority="143" operator="equal">
      <formula>2</formula>
    </cfRule>
    <cfRule type="cellIs" dxfId="3997" priority="144" operator="equal">
      <formula>7</formula>
    </cfRule>
    <cfRule type="cellIs" dxfId="3996" priority="145" operator="equal">
      <formula>1</formula>
    </cfRule>
  </conditionalFormatting>
  <conditionalFormatting sqref="K5:K36">
    <cfRule type="cellIs" dxfId="3995" priority="120" operator="equal">
      <formula>"a"</formula>
    </cfRule>
    <cfRule type="cellIs" dxfId="3994" priority="121" operator="equal">
      <formula>"k"</formula>
    </cfRule>
    <cfRule type="cellIs" dxfId="3993" priority="122" operator="equal">
      <formula>"u"</formula>
    </cfRule>
    <cfRule type="cellIs" dxfId="3992" priority="123" operator="equal">
      <formula>"f"</formula>
    </cfRule>
    <cfRule type="cellIs" dxfId="3991" priority="124" operator="equal">
      <formula>9</formula>
    </cfRule>
    <cfRule type="cellIs" dxfId="3990" priority="125" operator="equal">
      <formula>8</formula>
    </cfRule>
    <cfRule type="cellIs" dxfId="3989" priority="126" operator="equal">
      <formula>5</formula>
    </cfRule>
    <cfRule type="cellIs" dxfId="3988" priority="127" operator="equal">
      <formula>3</formula>
    </cfRule>
    <cfRule type="cellIs" dxfId="3987" priority="128" operator="equal">
      <formula>6</formula>
    </cfRule>
    <cfRule type="cellIs" dxfId="3986" priority="129" operator="equal">
      <formula>4</formula>
    </cfRule>
    <cfRule type="cellIs" dxfId="3985" priority="130" operator="equal">
      <formula>2</formula>
    </cfRule>
    <cfRule type="cellIs" dxfId="3984" priority="131" operator="equal">
      <formula>7</formula>
    </cfRule>
    <cfRule type="cellIs" dxfId="3983" priority="132" operator="equal">
      <formula>1</formula>
    </cfRule>
  </conditionalFormatting>
  <conditionalFormatting sqref="N5:N36">
    <cfRule type="cellIs" dxfId="3982" priority="107" operator="equal">
      <formula>"a"</formula>
    </cfRule>
    <cfRule type="cellIs" dxfId="3981" priority="108" operator="equal">
      <formula>"k"</formula>
    </cfRule>
    <cfRule type="cellIs" dxfId="3980" priority="109" operator="equal">
      <formula>"u"</formula>
    </cfRule>
    <cfRule type="cellIs" dxfId="3979" priority="110" operator="equal">
      <formula>"f"</formula>
    </cfRule>
    <cfRule type="cellIs" dxfId="3978" priority="111" operator="equal">
      <formula>9</formula>
    </cfRule>
    <cfRule type="cellIs" dxfId="3977" priority="112" operator="equal">
      <formula>8</formula>
    </cfRule>
    <cfRule type="cellIs" dxfId="3976" priority="113" operator="equal">
      <formula>5</formula>
    </cfRule>
    <cfRule type="cellIs" dxfId="3975" priority="114" operator="equal">
      <formula>3</formula>
    </cfRule>
    <cfRule type="cellIs" dxfId="3974" priority="115" operator="equal">
      <formula>6</formula>
    </cfRule>
    <cfRule type="cellIs" dxfId="3973" priority="116" operator="equal">
      <formula>4</formula>
    </cfRule>
    <cfRule type="cellIs" dxfId="3972" priority="117" operator="equal">
      <formula>2</formula>
    </cfRule>
    <cfRule type="cellIs" dxfId="3971" priority="118" operator="equal">
      <formula>7</formula>
    </cfRule>
    <cfRule type="cellIs" dxfId="3970" priority="119" operator="equal">
      <formula>1</formula>
    </cfRule>
  </conditionalFormatting>
  <conditionalFormatting sqref="Q5:Q36">
    <cfRule type="cellIs" dxfId="3969" priority="94" operator="equal">
      <formula>"a"</formula>
    </cfRule>
    <cfRule type="cellIs" dxfId="3968" priority="95" operator="equal">
      <formula>"k"</formula>
    </cfRule>
    <cfRule type="cellIs" dxfId="3967" priority="96" operator="equal">
      <formula>"u"</formula>
    </cfRule>
    <cfRule type="cellIs" dxfId="3966" priority="97" operator="equal">
      <formula>"f"</formula>
    </cfRule>
    <cfRule type="cellIs" dxfId="3965" priority="98" operator="equal">
      <formula>9</formula>
    </cfRule>
    <cfRule type="cellIs" dxfId="3964" priority="99" operator="equal">
      <formula>8</formula>
    </cfRule>
    <cfRule type="cellIs" dxfId="3963" priority="100" operator="equal">
      <formula>5</formula>
    </cfRule>
    <cfRule type="cellIs" dxfId="3962" priority="101" operator="equal">
      <formula>3</formula>
    </cfRule>
    <cfRule type="cellIs" dxfId="3961" priority="102" operator="equal">
      <formula>6</formula>
    </cfRule>
    <cfRule type="cellIs" dxfId="3960" priority="103" operator="equal">
      <formula>4</formula>
    </cfRule>
    <cfRule type="cellIs" dxfId="3959" priority="104" operator="equal">
      <formula>2</formula>
    </cfRule>
    <cfRule type="cellIs" dxfId="3958" priority="105" operator="equal">
      <formula>7</formula>
    </cfRule>
    <cfRule type="cellIs" dxfId="3957" priority="106" operator="equal">
      <formula>1</formula>
    </cfRule>
  </conditionalFormatting>
  <conditionalFormatting sqref="T5:T36">
    <cfRule type="cellIs" dxfId="3956" priority="81" operator="equal">
      <formula>"a"</formula>
    </cfRule>
    <cfRule type="cellIs" dxfId="3955" priority="82" operator="equal">
      <formula>"k"</formula>
    </cfRule>
    <cfRule type="cellIs" dxfId="3954" priority="83" operator="equal">
      <formula>"u"</formula>
    </cfRule>
    <cfRule type="cellIs" dxfId="3953" priority="84" operator="equal">
      <formula>"f"</formula>
    </cfRule>
    <cfRule type="cellIs" dxfId="3952" priority="85" operator="equal">
      <formula>9</formula>
    </cfRule>
    <cfRule type="cellIs" dxfId="3951" priority="86" operator="equal">
      <formula>8</formula>
    </cfRule>
    <cfRule type="cellIs" dxfId="3950" priority="87" operator="equal">
      <formula>5</formula>
    </cfRule>
    <cfRule type="cellIs" dxfId="3949" priority="88" operator="equal">
      <formula>3</formula>
    </cfRule>
    <cfRule type="cellIs" dxfId="3948" priority="89" operator="equal">
      <formula>6</formula>
    </cfRule>
    <cfRule type="cellIs" dxfId="3947" priority="90" operator="equal">
      <formula>4</formula>
    </cfRule>
    <cfRule type="cellIs" dxfId="3946" priority="91" operator="equal">
      <formula>2</formula>
    </cfRule>
    <cfRule type="cellIs" dxfId="3945" priority="92" operator="equal">
      <formula>7</formula>
    </cfRule>
    <cfRule type="cellIs" dxfId="3944" priority="93" operator="equal">
      <formula>1</formula>
    </cfRule>
  </conditionalFormatting>
  <conditionalFormatting sqref="F5:F36">
    <cfRule type="expression" dxfId="3943" priority="68">
      <formula>COUNTIF(E5,"a")</formula>
    </cfRule>
    <cfRule type="expression" dxfId="3942" priority="69">
      <formula>COUNTIF(E5,"9")</formula>
    </cfRule>
    <cfRule type="expression" dxfId="3941" priority="70">
      <formula>COUNTIF(E5,"k")</formula>
    </cfRule>
    <cfRule type="expression" dxfId="3940" priority="71">
      <formula>COUNTIF(E5,"u")</formula>
    </cfRule>
    <cfRule type="expression" dxfId="3939" priority="72">
      <formula>COUNTIF(E5,"f")</formula>
    </cfRule>
    <cfRule type="expression" dxfId="3938" priority="73">
      <formula>COUNTIF(E5,"8")</formula>
    </cfRule>
    <cfRule type="expression" dxfId="3937" priority="74">
      <formula>COUNTIF(E5,"7")</formula>
    </cfRule>
    <cfRule type="expression" dxfId="3936" priority="75">
      <formula>COUNTIF(E5,"3")</formula>
    </cfRule>
    <cfRule type="expression" dxfId="3935" priority="77">
      <formula>COUNTIF(E5,"5")</formula>
    </cfRule>
    <cfRule type="expression" dxfId="3934" priority="78">
      <formula>COUNTIF(E5,"2")</formula>
    </cfRule>
    <cfRule type="expression" dxfId="3933" priority="79">
      <formula>COUNTIF(E5,"4")</formula>
    </cfRule>
    <cfRule type="expression" dxfId="3932" priority="80">
      <formula>COUNTIF(E5,"1")</formula>
    </cfRule>
  </conditionalFormatting>
  <conditionalFormatting sqref="F5:F36">
    <cfRule type="expression" dxfId="3931" priority="76">
      <formula>COUNTIF(E5,"6")</formula>
    </cfRule>
  </conditionalFormatting>
  <conditionalFormatting sqref="I5:I36">
    <cfRule type="expression" dxfId="3930" priority="55">
      <formula>COUNTIF(H5,"a")</formula>
    </cfRule>
    <cfRule type="expression" dxfId="3929" priority="56">
      <formula>COUNTIF(H5,"9")</formula>
    </cfRule>
    <cfRule type="expression" dxfId="3928" priority="57">
      <formula>COUNTIF(H5,"k")</formula>
    </cfRule>
    <cfRule type="expression" dxfId="3927" priority="58">
      <formula>COUNTIF(H5,"u")</formula>
    </cfRule>
    <cfRule type="expression" dxfId="3926" priority="59">
      <formula>COUNTIF(H5,"f")</formula>
    </cfRule>
    <cfRule type="expression" dxfId="3925" priority="60">
      <formula>COUNTIF(H5,"8")</formula>
    </cfRule>
    <cfRule type="expression" dxfId="3924" priority="61">
      <formula>COUNTIF(H5,"7")</formula>
    </cfRule>
    <cfRule type="expression" dxfId="3923" priority="62">
      <formula>COUNTIF(H5,"3")</formula>
    </cfRule>
    <cfRule type="expression" dxfId="3922" priority="64">
      <formula>COUNTIF(H5,"5")</formula>
    </cfRule>
    <cfRule type="expression" dxfId="3921" priority="65">
      <formula>COUNTIF(H5,"2")</formula>
    </cfRule>
    <cfRule type="expression" dxfId="3920" priority="66">
      <formula>COUNTIF(H5,"4")</formula>
    </cfRule>
    <cfRule type="expression" dxfId="3919" priority="67">
      <formula>COUNTIF(H5,"1")</formula>
    </cfRule>
  </conditionalFormatting>
  <conditionalFormatting sqref="I5:I36">
    <cfRule type="expression" dxfId="3918" priority="63">
      <formula>COUNTIF(H5,"6")</formula>
    </cfRule>
  </conditionalFormatting>
  <conditionalFormatting sqref="L5:L36">
    <cfRule type="expression" dxfId="3917" priority="42">
      <formula>COUNTIF(K5,"a")</formula>
    </cfRule>
    <cfRule type="expression" dxfId="3916" priority="43">
      <formula>COUNTIF(K5,"9")</formula>
    </cfRule>
    <cfRule type="expression" dxfId="3915" priority="44">
      <formula>COUNTIF(K5,"k")</formula>
    </cfRule>
    <cfRule type="expression" dxfId="3914" priority="45">
      <formula>COUNTIF(K5,"u")</formula>
    </cfRule>
    <cfRule type="expression" dxfId="3913" priority="46">
      <formula>COUNTIF(K5,"f")</formula>
    </cfRule>
    <cfRule type="expression" dxfId="3912" priority="47">
      <formula>COUNTIF(K5,"8")</formula>
    </cfRule>
    <cfRule type="expression" dxfId="3911" priority="48">
      <formula>COUNTIF(K5,"7")</formula>
    </cfRule>
    <cfRule type="expression" dxfId="3910" priority="49">
      <formula>COUNTIF(K5,"3")</formula>
    </cfRule>
    <cfRule type="expression" dxfId="3909" priority="51">
      <formula>COUNTIF(K5,"5")</formula>
    </cfRule>
    <cfRule type="expression" dxfId="3908" priority="52">
      <formula>COUNTIF(K5,"2")</formula>
    </cfRule>
    <cfRule type="expression" dxfId="3907" priority="53">
      <formula>COUNTIF(K5,"4")</formula>
    </cfRule>
    <cfRule type="expression" dxfId="3906" priority="54">
      <formula>COUNTIF(K5,"1")</formula>
    </cfRule>
  </conditionalFormatting>
  <conditionalFormatting sqref="L5:L36">
    <cfRule type="expression" dxfId="3905" priority="50">
      <formula>COUNTIF(K5,"6")</formula>
    </cfRule>
  </conditionalFormatting>
  <conditionalFormatting sqref="O5:O36">
    <cfRule type="expression" dxfId="3904" priority="29">
      <formula>COUNTIF(N5,"a")</formula>
    </cfRule>
    <cfRule type="expression" dxfId="3903" priority="30">
      <formula>COUNTIF(N5,"9")</formula>
    </cfRule>
    <cfRule type="expression" dxfId="3902" priority="31">
      <formula>COUNTIF(N5,"k")</formula>
    </cfRule>
    <cfRule type="expression" dxfId="3901" priority="32">
      <formula>COUNTIF(N5,"u")</formula>
    </cfRule>
    <cfRule type="expression" dxfId="3900" priority="33">
      <formula>COUNTIF(N5,"f")</formula>
    </cfRule>
    <cfRule type="expression" dxfId="3899" priority="34">
      <formula>COUNTIF(N5,"8")</formula>
    </cfRule>
    <cfRule type="expression" dxfId="3898" priority="35">
      <formula>COUNTIF(N5,"7")</formula>
    </cfRule>
    <cfRule type="expression" dxfId="3897" priority="36">
      <formula>COUNTIF(N5,"3")</formula>
    </cfRule>
    <cfRule type="expression" dxfId="3896" priority="38">
      <formula>COUNTIF(N5,"5")</formula>
    </cfRule>
    <cfRule type="expression" dxfId="3895" priority="39">
      <formula>COUNTIF(N5,"2")</formula>
    </cfRule>
    <cfRule type="expression" dxfId="3894" priority="40">
      <formula>COUNTIF(N5,"4")</formula>
    </cfRule>
    <cfRule type="expression" dxfId="3893" priority="41">
      <formula>COUNTIF(N5,"1")</formula>
    </cfRule>
  </conditionalFormatting>
  <conditionalFormatting sqref="O5:O36">
    <cfRule type="expression" dxfId="3892" priority="37">
      <formula>COUNTIF(N5,"6")</formula>
    </cfRule>
  </conditionalFormatting>
  <conditionalFormatting sqref="R5:R36">
    <cfRule type="expression" dxfId="3891" priority="16">
      <formula>COUNTIF(Q5,"a")</formula>
    </cfRule>
    <cfRule type="expression" dxfId="3890" priority="17">
      <formula>COUNTIF(Q5,"9")</formula>
    </cfRule>
    <cfRule type="expression" dxfId="3889" priority="18">
      <formula>COUNTIF(Q5,"k")</formula>
    </cfRule>
    <cfRule type="expression" dxfId="3888" priority="19">
      <formula>COUNTIF(Q5,"u")</formula>
    </cfRule>
    <cfRule type="expression" dxfId="3887" priority="20">
      <formula>COUNTIF(Q5,"f")</formula>
    </cfRule>
    <cfRule type="expression" dxfId="3886" priority="21">
      <formula>COUNTIF(Q5,"8")</formula>
    </cfRule>
    <cfRule type="expression" dxfId="3885" priority="22">
      <formula>COUNTIF(Q5,"7")</formula>
    </cfRule>
    <cfRule type="expression" dxfId="3884" priority="23">
      <formula>COUNTIF(Q5,"3")</formula>
    </cfRule>
    <cfRule type="expression" dxfId="3883" priority="25">
      <formula>COUNTIF(Q5,"5")</formula>
    </cfRule>
    <cfRule type="expression" dxfId="3882" priority="26">
      <formula>COUNTIF(Q5,"2")</formula>
    </cfRule>
    <cfRule type="expression" dxfId="3881" priority="27">
      <formula>COUNTIF(Q5,"4")</formula>
    </cfRule>
    <cfRule type="expression" dxfId="3880" priority="28">
      <formula>COUNTIF(Q5,"1")</formula>
    </cfRule>
  </conditionalFormatting>
  <conditionalFormatting sqref="R5:R36">
    <cfRule type="expression" dxfId="3879" priority="24">
      <formula>COUNTIF(Q5,"6")</formula>
    </cfRule>
  </conditionalFormatting>
  <conditionalFormatting sqref="U5:U36">
    <cfRule type="expression" dxfId="3878" priority="3">
      <formula>COUNTIF(T5,"a")</formula>
    </cfRule>
    <cfRule type="expression" dxfId="3877" priority="4">
      <formula>COUNTIF(T5,"9")</formula>
    </cfRule>
    <cfRule type="expression" dxfId="3876" priority="5">
      <formula>COUNTIF(T5,"k")</formula>
    </cfRule>
    <cfRule type="expression" dxfId="3875" priority="6">
      <formula>COUNTIF(T5,"u")</formula>
    </cfRule>
    <cfRule type="expression" dxfId="3874" priority="7">
      <formula>COUNTIF(T5,"f")</formula>
    </cfRule>
    <cfRule type="expression" dxfId="3873" priority="8">
      <formula>COUNTIF(T5,"8")</formula>
    </cfRule>
    <cfRule type="expression" dxfId="3872" priority="9">
      <formula>COUNTIF(T5,"7")</formula>
    </cfRule>
    <cfRule type="expression" dxfId="3871" priority="10">
      <formula>COUNTIF(T5,"3")</formula>
    </cfRule>
    <cfRule type="expression" dxfId="3870" priority="12">
      <formula>COUNTIF(T5,"5")</formula>
    </cfRule>
    <cfRule type="expression" dxfId="3869" priority="13">
      <formula>COUNTIF(T5,"2")</formula>
    </cfRule>
    <cfRule type="expression" dxfId="3868" priority="14">
      <formula>COUNTIF(T5,"4")</formula>
    </cfRule>
    <cfRule type="expression" dxfId="3867" priority="15">
      <formula>COUNTIF(T5,"1")</formula>
    </cfRule>
  </conditionalFormatting>
  <conditionalFormatting sqref="U5:U36">
    <cfRule type="expression" dxfId="3866" priority="11">
      <formula>COUNTIF(T5,"6")</formula>
    </cfRule>
  </conditionalFormatting>
  <conditionalFormatting sqref="V32">
    <cfRule type="cellIs" dxfId="3865" priority="1" operator="lessThan">
      <formula>0</formula>
    </cfRule>
    <cfRule type="cellIs" dxfId="386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F973A11E-5D1E-0640-BFA0-42BC36FE6031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CC0A7-A012-C641-A924-6C4A7E941AC7}">
  <sheetPr codeName="Tabelle7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33</v>
      </c>
      <c r="Q1" s="176"/>
      <c r="R1" s="79">
        <f>DATE(V1,1,7*P1-3-WEEKDAY(DATE(V1,,),3))</f>
        <v>45516</v>
      </c>
      <c r="S1" s="80" t="s">
        <v>1</v>
      </c>
      <c r="T1" s="177">
        <f>DATE(V1,1,7*P1+3-WEEKDAY(DATE(V1,,),3))</f>
        <v>45522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45516</v>
      </c>
      <c r="B2" s="178"/>
      <c r="C2" s="178"/>
      <c r="D2" s="178">
        <f>A2+1</f>
        <v>45517</v>
      </c>
      <c r="E2" s="179"/>
      <c r="F2" s="179"/>
      <c r="G2" s="178">
        <f>D2+1</f>
        <v>45518</v>
      </c>
      <c r="H2" s="179"/>
      <c r="I2" s="179"/>
      <c r="J2" s="178">
        <f>G2+1</f>
        <v>45519</v>
      </c>
      <c r="K2" s="179"/>
      <c r="L2" s="179"/>
      <c r="M2" s="178">
        <f>J2+1</f>
        <v>45520</v>
      </c>
      <c r="N2" s="179"/>
      <c r="O2" s="179"/>
      <c r="P2" s="178">
        <f>M2+1</f>
        <v>45521</v>
      </c>
      <c r="Q2" s="179"/>
      <c r="R2" s="179"/>
      <c r="S2" s="178">
        <f>P2+1</f>
        <v>45522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45516</v>
      </c>
      <c r="B3" s="168"/>
      <c r="C3" s="168"/>
      <c r="D3" s="168">
        <f>A3+1</f>
        <v>45517</v>
      </c>
      <c r="E3" s="168"/>
      <c r="F3" s="168"/>
      <c r="G3" s="168">
        <f>D3+1</f>
        <v>45518</v>
      </c>
      <c r="H3" s="168"/>
      <c r="I3" s="168"/>
      <c r="J3" s="168">
        <f>G3+1</f>
        <v>45519</v>
      </c>
      <c r="K3" s="168"/>
      <c r="L3" s="168"/>
      <c r="M3" s="168">
        <f>J3+1</f>
        <v>45520</v>
      </c>
      <c r="N3" s="168"/>
      <c r="O3" s="168"/>
      <c r="P3" s="168">
        <f>M3+1</f>
        <v>45521</v>
      </c>
      <c r="Q3" s="168"/>
      <c r="R3" s="168"/>
      <c r="S3" s="168">
        <f>P3+1</f>
        <v>45522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45516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45517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45518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45519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45520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45521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45522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32'!V32</f>
        <v>-1280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-1320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863" priority="159">
      <formula>COUNTIF(B5,"a")</formula>
    </cfRule>
    <cfRule type="expression" dxfId="3862" priority="161">
      <formula>COUNTIF(B5,"9")</formula>
    </cfRule>
    <cfRule type="expression" dxfId="3861" priority="163">
      <formula>COUNTIF(B5,"k")</formula>
    </cfRule>
    <cfRule type="expression" dxfId="3860" priority="164">
      <formula>COUNTIF(B5,"u")</formula>
    </cfRule>
    <cfRule type="expression" dxfId="3859" priority="167">
      <formula>COUNTIF(B5,"f")</formula>
    </cfRule>
    <cfRule type="expression" dxfId="3858" priority="168">
      <formula>COUNTIF(B5,"8")</formula>
    </cfRule>
    <cfRule type="expression" dxfId="3857" priority="169">
      <formula>COUNTIF(B5,"7")</formula>
    </cfRule>
    <cfRule type="expression" dxfId="3856" priority="170">
      <formula>COUNTIF(B5,"3")</formula>
    </cfRule>
    <cfRule type="expression" dxfId="3855" priority="181">
      <formula>COUNTIF(B5,"5")</formula>
    </cfRule>
    <cfRule type="expression" dxfId="3854" priority="182">
      <formula>COUNTIF(B5,"2")</formula>
    </cfRule>
    <cfRule type="expression" dxfId="3853" priority="183">
      <formula>COUNTIF(B5,"4")</formula>
    </cfRule>
    <cfRule type="expression" dxfId="3852" priority="184">
      <formula>COUNTIF(B5,"1")</formula>
    </cfRule>
  </conditionalFormatting>
  <conditionalFormatting sqref="B5:B36">
    <cfRule type="cellIs" dxfId="3851" priority="160" operator="equal">
      <formula>"a"</formula>
    </cfRule>
    <cfRule type="cellIs" dxfId="3850" priority="162" operator="equal">
      <formula>"k"</formula>
    </cfRule>
    <cfRule type="cellIs" dxfId="3849" priority="165" operator="equal">
      <formula>"u"</formula>
    </cfRule>
    <cfRule type="cellIs" dxfId="3848" priority="166" operator="equal">
      <formula>"f"</formula>
    </cfRule>
    <cfRule type="cellIs" dxfId="3847" priority="171" operator="equal">
      <formula>9</formula>
    </cfRule>
    <cfRule type="cellIs" dxfId="3846" priority="172" operator="equal">
      <formula>8</formula>
    </cfRule>
    <cfRule type="cellIs" dxfId="3845" priority="173" operator="equal">
      <formula>5</formula>
    </cfRule>
    <cfRule type="cellIs" dxfId="3844" priority="174" operator="equal">
      <formula>3</formula>
    </cfRule>
    <cfRule type="cellIs" dxfId="3843" priority="176" operator="equal">
      <formula>6</formula>
    </cfRule>
    <cfRule type="cellIs" dxfId="3842" priority="177" operator="equal">
      <formula>4</formula>
    </cfRule>
    <cfRule type="cellIs" dxfId="3841" priority="178" operator="equal">
      <formula>2</formula>
    </cfRule>
    <cfRule type="cellIs" dxfId="3840" priority="179" operator="equal">
      <formula>7</formula>
    </cfRule>
    <cfRule type="cellIs" dxfId="3839" priority="180" operator="equal">
      <formula>1</formula>
    </cfRule>
  </conditionalFormatting>
  <conditionalFormatting sqref="C5:C36">
    <cfRule type="expression" dxfId="3838" priority="175">
      <formula>COUNTIF(B5,"6")</formula>
    </cfRule>
  </conditionalFormatting>
  <conditionalFormatting sqref="E5:E36">
    <cfRule type="cellIs" dxfId="3837" priority="146" operator="equal">
      <formula>"a"</formula>
    </cfRule>
    <cfRule type="cellIs" dxfId="3836" priority="147" operator="equal">
      <formula>"k"</formula>
    </cfRule>
    <cfRule type="cellIs" dxfId="3835" priority="148" operator="equal">
      <formula>"u"</formula>
    </cfRule>
    <cfRule type="cellIs" dxfId="3834" priority="149" operator="equal">
      <formula>"f"</formula>
    </cfRule>
    <cfRule type="cellIs" dxfId="3833" priority="150" operator="equal">
      <formula>9</formula>
    </cfRule>
    <cfRule type="cellIs" dxfId="3832" priority="151" operator="equal">
      <formula>8</formula>
    </cfRule>
    <cfRule type="cellIs" dxfId="3831" priority="152" operator="equal">
      <formula>5</formula>
    </cfRule>
    <cfRule type="cellIs" dxfId="3830" priority="153" operator="equal">
      <formula>3</formula>
    </cfRule>
    <cfRule type="cellIs" dxfId="3829" priority="154" operator="equal">
      <formula>6</formula>
    </cfRule>
    <cfRule type="cellIs" dxfId="3828" priority="155" operator="equal">
      <formula>4</formula>
    </cfRule>
    <cfRule type="cellIs" dxfId="3827" priority="156" operator="equal">
      <formula>2</formula>
    </cfRule>
    <cfRule type="cellIs" dxfId="3826" priority="157" operator="equal">
      <formula>7</formula>
    </cfRule>
    <cfRule type="cellIs" dxfId="3825" priority="158" operator="equal">
      <formula>1</formula>
    </cfRule>
  </conditionalFormatting>
  <conditionalFormatting sqref="H5:H36">
    <cfRule type="cellIs" dxfId="3824" priority="133" operator="equal">
      <formula>"a"</formula>
    </cfRule>
    <cfRule type="cellIs" dxfId="3823" priority="134" operator="equal">
      <formula>"k"</formula>
    </cfRule>
    <cfRule type="cellIs" dxfId="3822" priority="135" operator="equal">
      <formula>"u"</formula>
    </cfRule>
    <cfRule type="cellIs" dxfId="3821" priority="136" operator="equal">
      <formula>"f"</formula>
    </cfRule>
    <cfRule type="cellIs" dxfId="3820" priority="137" operator="equal">
      <formula>9</formula>
    </cfRule>
    <cfRule type="cellIs" dxfId="3819" priority="138" operator="equal">
      <formula>8</formula>
    </cfRule>
    <cfRule type="cellIs" dxfId="3818" priority="139" operator="equal">
      <formula>5</formula>
    </cfRule>
    <cfRule type="cellIs" dxfId="3817" priority="140" operator="equal">
      <formula>3</formula>
    </cfRule>
    <cfRule type="cellIs" dxfId="3816" priority="141" operator="equal">
      <formula>6</formula>
    </cfRule>
    <cfRule type="cellIs" dxfId="3815" priority="142" operator="equal">
      <formula>4</formula>
    </cfRule>
    <cfRule type="cellIs" dxfId="3814" priority="143" operator="equal">
      <formula>2</formula>
    </cfRule>
    <cfRule type="cellIs" dxfId="3813" priority="144" operator="equal">
      <formula>7</formula>
    </cfRule>
    <cfRule type="cellIs" dxfId="3812" priority="145" operator="equal">
      <formula>1</formula>
    </cfRule>
  </conditionalFormatting>
  <conditionalFormatting sqref="K5:K36">
    <cfRule type="cellIs" dxfId="3811" priority="120" operator="equal">
      <formula>"a"</formula>
    </cfRule>
    <cfRule type="cellIs" dxfId="3810" priority="121" operator="equal">
      <formula>"k"</formula>
    </cfRule>
    <cfRule type="cellIs" dxfId="3809" priority="122" operator="equal">
      <formula>"u"</formula>
    </cfRule>
    <cfRule type="cellIs" dxfId="3808" priority="123" operator="equal">
      <formula>"f"</formula>
    </cfRule>
    <cfRule type="cellIs" dxfId="3807" priority="124" operator="equal">
      <formula>9</formula>
    </cfRule>
    <cfRule type="cellIs" dxfId="3806" priority="125" operator="equal">
      <formula>8</formula>
    </cfRule>
    <cfRule type="cellIs" dxfId="3805" priority="126" operator="equal">
      <formula>5</formula>
    </cfRule>
    <cfRule type="cellIs" dxfId="3804" priority="127" operator="equal">
      <formula>3</formula>
    </cfRule>
    <cfRule type="cellIs" dxfId="3803" priority="128" operator="equal">
      <formula>6</formula>
    </cfRule>
    <cfRule type="cellIs" dxfId="3802" priority="129" operator="equal">
      <formula>4</formula>
    </cfRule>
    <cfRule type="cellIs" dxfId="3801" priority="130" operator="equal">
      <formula>2</formula>
    </cfRule>
    <cfRule type="cellIs" dxfId="3800" priority="131" operator="equal">
      <formula>7</formula>
    </cfRule>
    <cfRule type="cellIs" dxfId="3799" priority="132" operator="equal">
      <formula>1</formula>
    </cfRule>
  </conditionalFormatting>
  <conditionalFormatting sqref="N5:N36">
    <cfRule type="cellIs" dxfId="3798" priority="107" operator="equal">
      <formula>"a"</formula>
    </cfRule>
    <cfRule type="cellIs" dxfId="3797" priority="108" operator="equal">
      <formula>"k"</formula>
    </cfRule>
    <cfRule type="cellIs" dxfId="3796" priority="109" operator="equal">
      <formula>"u"</formula>
    </cfRule>
    <cfRule type="cellIs" dxfId="3795" priority="110" operator="equal">
      <formula>"f"</formula>
    </cfRule>
    <cfRule type="cellIs" dxfId="3794" priority="111" operator="equal">
      <formula>9</formula>
    </cfRule>
    <cfRule type="cellIs" dxfId="3793" priority="112" operator="equal">
      <formula>8</formula>
    </cfRule>
    <cfRule type="cellIs" dxfId="3792" priority="113" operator="equal">
      <formula>5</formula>
    </cfRule>
    <cfRule type="cellIs" dxfId="3791" priority="114" operator="equal">
      <formula>3</formula>
    </cfRule>
    <cfRule type="cellIs" dxfId="3790" priority="115" operator="equal">
      <formula>6</formula>
    </cfRule>
    <cfRule type="cellIs" dxfId="3789" priority="116" operator="equal">
      <formula>4</formula>
    </cfRule>
    <cfRule type="cellIs" dxfId="3788" priority="117" operator="equal">
      <formula>2</formula>
    </cfRule>
    <cfRule type="cellIs" dxfId="3787" priority="118" operator="equal">
      <formula>7</formula>
    </cfRule>
    <cfRule type="cellIs" dxfId="3786" priority="119" operator="equal">
      <formula>1</formula>
    </cfRule>
  </conditionalFormatting>
  <conditionalFormatting sqref="Q5:Q36">
    <cfRule type="cellIs" dxfId="3785" priority="94" operator="equal">
      <formula>"a"</formula>
    </cfRule>
    <cfRule type="cellIs" dxfId="3784" priority="95" operator="equal">
      <formula>"k"</formula>
    </cfRule>
    <cfRule type="cellIs" dxfId="3783" priority="96" operator="equal">
      <formula>"u"</formula>
    </cfRule>
    <cfRule type="cellIs" dxfId="3782" priority="97" operator="equal">
      <formula>"f"</formula>
    </cfRule>
    <cfRule type="cellIs" dxfId="3781" priority="98" operator="equal">
      <formula>9</formula>
    </cfRule>
    <cfRule type="cellIs" dxfId="3780" priority="99" operator="equal">
      <formula>8</formula>
    </cfRule>
    <cfRule type="cellIs" dxfId="3779" priority="100" operator="equal">
      <formula>5</formula>
    </cfRule>
    <cfRule type="cellIs" dxfId="3778" priority="101" operator="equal">
      <formula>3</formula>
    </cfRule>
    <cfRule type="cellIs" dxfId="3777" priority="102" operator="equal">
      <formula>6</formula>
    </cfRule>
    <cfRule type="cellIs" dxfId="3776" priority="103" operator="equal">
      <formula>4</formula>
    </cfRule>
    <cfRule type="cellIs" dxfId="3775" priority="104" operator="equal">
      <formula>2</formula>
    </cfRule>
    <cfRule type="cellIs" dxfId="3774" priority="105" operator="equal">
      <formula>7</formula>
    </cfRule>
    <cfRule type="cellIs" dxfId="3773" priority="106" operator="equal">
      <formula>1</formula>
    </cfRule>
  </conditionalFormatting>
  <conditionalFormatting sqref="T5:T36">
    <cfRule type="cellIs" dxfId="3772" priority="81" operator="equal">
      <formula>"a"</formula>
    </cfRule>
    <cfRule type="cellIs" dxfId="3771" priority="82" operator="equal">
      <formula>"k"</formula>
    </cfRule>
    <cfRule type="cellIs" dxfId="3770" priority="83" operator="equal">
      <formula>"u"</formula>
    </cfRule>
    <cfRule type="cellIs" dxfId="3769" priority="84" operator="equal">
      <formula>"f"</formula>
    </cfRule>
    <cfRule type="cellIs" dxfId="3768" priority="85" operator="equal">
      <formula>9</formula>
    </cfRule>
    <cfRule type="cellIs" dxfId="3767" priority="86" operator="equal">
      <formula>8</formula>
    </cfRule>
    <cfRule type="cellIs" dxfId="3766" priority="87" operator="equal">
      <formula>5</formula>
    </cfRule>
    <cfRule type="cellIs" dxfId="3765" priority="88" operator="equal">
      <formula>3</formula>
    </cfRule>
    <cfRule type="cellIs" dxfId="3764" priority="89" operator="equal">
      <formula>6</formula>
    </cfRule>
    <cfRule type="cellIs" dxfId="3763" priority="90" operator="equal">
      <formula>4</formula>
    </cfRule>
    <cfRule type="cellIs" dxfId="3762" priority="91" operator="equal">
      <formula>2</formula>
    </cfRule>
    <cfRule type="cellIs" dxfId="3761" priority="92" operator="equal">
      <formula>7</formula>
    </cfRule>
    <cfRule type="cellIs" dxfId="3760" priority="93" operator="equal">
      <formula>1</formula>
    </cfRule>
  </conditionalFormatting>
  <conditionalFormatting sqref="F5:F36">
    <cfRule type="expression" dxfId="3759" priority="68">
      <formula>COUNTIF(E5,"a")</formula>
    </cfRule>
    <cfRule type="expression" dxfId="3758" priority="69">
      <formula>COUNTIF(E5,"9")</formula>
    </cfRule>
    <cfRule type="expression" dxfId="3757" priority="70">
      <formula>COUNTIF(E5,"k")</formula>
    </cfRule>
    <cfRule type="expression" dxfId="3756" priority="71">
      <formula>COUNTIF(E5,"u")</formula>
    </cfRule>
    <cfRule type="expression" dxfId="3755" priority="72">
      <formula>COUNTIF(E5,"f")</formula>
    </cfRule>
    <cfRule type="expression" dxfId="3754" priority="73">
      <formula>COUNTIF(E5,"8")</formula>
    </cfRule>
    <cfRule type="expression" dxfId="3753" priority="74">
      <formula>COUNTIF(E5,"7")</formula>
    </cfRule>
    <cfRule type="expression" dxfId="3752" priority="75">
      <formula>COUNTIF(E5,"3")</formula>
    </cfRule>
    <cfRule type="expression" dxfId="3751" priority="77">
      <formula>COUNTIF(E5,"5")</formula>
    </cfRule>
    <cfRule type="expression" dxfId="3750" priority="78">
      <formula>COUNTIF(E5,"2")</formula>
    </cfRule>
    <cfRule type="expression" dxfId="3749" priority="79">
      <formula>COUNTIF(E5,"4")</formula>
    </cfRule>
    <cfRule type="expression" dxfId="3748" priority="80">
      <formula>COUNTIF(E5,"1")</formula>
    </cfRule>
  </conditionalFormatting>
  <conditionalFormatting sqref="F5:F36">
    <cfRule type="expression" dxfId="3747" priority="76">
      <formula>COUNTIF(E5,"6")</formula>
    </cfRule>
  </conditionalFormatting>
  <conditionalFormatting sqref="I5:I36">
    <cfRule type="expression" dxfId="3746" priority="55">
      <formula>COUNTIF(H5,"a")</formula>
    </cfRule>
    <cfRule type="expression" dxfId="3745" priority="56">
      <formula>COUNTIF(H5,"9")</formula>
    </cfRule>
    <cfRule type="expression" dxfId="3744" priority="57">
      <formula>COUNTIF(H5,"k")</formula>
    </cfRule>
    <cfRule type="expression" dxfId="3743" priority="58">
      <formula>COUNTIF(H5,"u")</formula>
    </cfRule>
    <cfRule type="expression" dxfId="3742" priority="59">
      <formula>COUNTIF(H5,"f")</formula>
    </cfRule>
    <cfRule type="expression" dxfId="3741" priority="60">
      <formula>COUNTIF(H5,"8")</formula>
    </cfRule>
    <cfRule type="expression" dxfId="3740" priority="61">
      <formula>COUNTIF(H5,"7")</formula>
    </cfRule>
    <cfRule type="expression" dxfId="3739" priority="62">
      <formula>COUNTIF(H5,"3")</formula>
    </cfRule>
    <cfRule type="expression" dxfId="3738" priority="64">
      <formula>COUNTIF(H5,"5")</formula>
    </cfRule>
    <cfRule type="expression" dxfId="3737" priority="65">
      <formula>COUNTIF(H5,"2")</formula>
    </cfRule>
    <cfRule type="expression" dxfId="3736" priority="66">
      <formula>COUNTIF(H5,"4")</formula>
    </cfRule>
    <cfRule type="expression" dxfId="3735" priority="67">
      <formula>COUNTIF(H5,"1")</formula>
    </cfRule>
  </conditionalFormatting>
  <conditionalFormatting sqref="I5:I36">
    <cfRule type="expression" dxfId="3734" priority="63">
      <formula>COUNTIF(H5,"6")</formula>
    </cfRule>
  </conditionalFormatting>
  <conditionalFormatting sqref="L5:L36">
    <cfRule type="expression" dxfId="3733" priority="42">
      <formula>COUNTIF(K5,"a")</formula>
    </cfRule>
    <cfRule type="expression" dxfId="3732" priority="43">
      <formula>COUNTIF(K5,"9")</formula>
    </cfRule>
    <cfRule type="expression" dxfId="3731" priority="44">
      <formula>COUNTIF(K5,"k")</formula>
    </cfRule>
    <cfRule type="expression" dxfId="3730" priority="45">
      <formula>COUNTIF(K5,"u")</formula>
    </cfRule>
    <cfRule type="expression" dxfId="3729" priority="46">
      <formula>COUNTIF(K5,"f")</formula>
    </cfRule>
    <cfRule type="expression" dxfId="3728" priority="47">
      <formula>COUNTIF(K5,"8")</formula>
    </cfRule>
    <cfRule type="expression" dxfId="3727" priority="48">
      <formula>COUNTIF(K5,"7")</formula>
    </cfRule>
    <cfRule type="expression" dxfId="3726" priority="49">
      <formula>COUNTIF(K5,"3")</formula>
    </cfRule>
    <cfRule type="expression" dxfId="3725" priority="51">
      <formula>COUNTIF(K5,"5")</formula>
    </cfRule>
    <cfRule type="expression" dxfId="3724" priority="52">
      <formula>COUNTIF(K5,"2")</formula>
    </cfRule>
    <cfRule type="expression" dxfId="3723" priority="53">
      <formula>COUNTIF(K5,"4")</formula>
    </cfRule>
    <cfRule type="expression" dxfId="3722" priority="54">
      <formula>COUNTIF(K5,"1")</formula>
    </cfRule>
  </conditionalFormatting>
  <conditionalFormatting sqref="L5:L36">
    <cfRule type="expression" dxfId="3721" priority="50">
      <formula>COUNTIF(K5,"6")</formula>
    </cfRule>
  </conditionalFormatting>
  <conditionalFormatting sqref="O5:O36">
    <cfRule type="expression" dxfId="3720" priority="29">
      <formula>COUNTIF(N5,"a")</formula>
    </cfRule>
    <cfRule type="expression" dxfId="3719" priority="30">
      <formula>COUNTIF(N5,"9")</formula>
    </cfRule>
    <cfRule type="expression" dxfId="3718" priority="31">
      <formula>COUNTIF(N5,"k")</formula>
    </cfRule>
    <cfRule type="expression" dxfId="3717" priority="32">
      <formula>COUNTIF(N5,"u")</formula>
    </cfRule>
    <cfRule type="expression" dxfId="3716" priority="33">
      <formula>COUNTIF(N5,"f")</formula>
    </cfRule>
    <cfRule type="expression" dxfId="3715" priority="34">
      <formula>COUNTIF(N5,"8")</formula>
    </cfRule>
    <cfRule type="expression" dxfId="3714" priority="35">
      <formula>COUNTIF(N5,"7")</formula>
    </cfRule>
    <cfRule type="expression" dxfId="3713" priority="36">
      <formula>COUNTIF(N5,"3")</formula>
    </cfRule>
    <cfRule type="expression" dxfId="3712" priority="38">
      <formula>COUNTIF(N5,"5")</formula>
    </cfRule>
    <cfRule type="expression" dxfId="3711" priority="39">
      <formula>COUNTIF(N5,"2")</formula>
    </cfRule>
    <cfRule type="expression" dxfId="3710" priority="40">
      <formula>COUNTIF(N5,"4")</formula>
    </cfRule>
    <cfRule type="expression" dxfId="3709" priority="41">
      <formula>COUNTIF(N5,"1")</formula>
    </cfRule>
  </conditionalFormatting>
  <conditionalFormatting sqref="O5:O36">
    <cfRule type="expression" dxfId="3708" priority="37">
      <formula>COUNTIF(N5,"6")</formula>
    </cfRule>
  </conditionalFormatting>
  <conditionalFormatting sqref="R5:R36">
    <cfRule type="expression" dxfId="3707" priority="16">
      <formula>COUNTIF(Q5,"a")</formula>
    </cfRule>
    <cfRule type="expression" dxfId="3706" priority="17">
      <formula>COUNTIF(Q5,"9")</formula>
    </cfRule>
    <cfRule type="expression" dxfId="3705" priority="18">
      <formula>COUNTIF(Q5,"k")</formula>
    </cfRule>
    <cfRule type="expression" dxfId="3704" priority="19">
      <formula>COUNTIF(Q5,"u")</formula>
    </cfRule>
    <cfRule type="expression" dxfId="3703" priority="20">
      <formula>COUNTIF(Q5,"f")</formula>
    </cfRule>
    <cfRule type="expression" dxfId="3702" priority="21">
      <formula>COUNTIF(Q5,"8")</formula>
    </cfRule>
    <cfRule type="expression" dxfId="3701" priority="22">
      <formula>COUNTIF(Q5,"7")</formula>
    </cfRule>
    <cfRule type="expression" dxfId="3700" priority="23">
      <formula>COUNTIF(Q5,"3")</formula>
    </cfRule>
    <cfRule type="expression" dxfId="3699" priority="25">
      <formula>COUNTIF(Q5,"5")</formula>
    </cfRule>
    <cfRule type="expression" dxfId="3698" priority="26">
      <formula>COUNTIF(Q5,"2")</formula>
    </cfRule>
    <cfRule type="expression" dxfId="3697" priority="27">
      <formula>COUNTIF(Q5,"4")</formula>
    </cfRule>
    <cfRule type="expression" dxfId="3696" priority="28">
      <formula>COUNTIF(Q5,"1")</formula>
    </cfRule>
  </conditionalFormatting>
  <conditionalFormatting sqref="R5:R36">
    <cfRule type="expression" dxfId="3695" priority="24">
      <formula>COUNTIF(Q5,"6")</formula>
    </cfRule>
  </conditionalFormatting>
  <conditionalFormatting sqref="U5:U36">
    <cfRule type="expression" dxfId="3694" priority="3">
      <formula>COUNTIF(T5,"a")</formula>
    </cfRule>
    <cfRule type="expression" dxfId="3693" priority="4">
      <formula>COUNTIF(T5,"9")</formula>
    </cfRule>
    <cfRule type="expression" dxfId="3692" priority="5">
      <formula>COUNTIF(T5,"k")</formula>
    </cfRule>
    <cfRule type="expression" dxfId="3691" priority="6">
      <formula>COUNTIF(T5,"u")</formula>
    </cfRule>
    <cfRule type="expression" dxfId="3690" priority="7">
      <formula>COUNTIF(T5,"f")</formula>
    </cfRule>
    <cfRule type="expression" dxfId="3689" priority="8">
      <formula>COUNTIF(T5,"8")</formula>
    </cfRule>
    <cfRule type="expression" dxfId="3688" priority="9">
      <formula>COUNTIF(T5,"7")</formula>
    </cfRule>
    <cfRule type="expression" dxfId="3687" priority="10">
      <formula>COUNTIF(T5,"3")</formula>
    </cfRule>
    <cfRule type="expression" dxfId="3686" priority="12">
      <formula>COUNTIF(T5,"5")</formula>
    </cfRule>
    <cfRule type="expression" dxfId="3685" priority="13">
      <formula>COUNTIF(T5,"2")</formula>
    </cfRule>
    <cfRule type="expression" dxfId="3684" priority="14">
      <formula>COUNTIF(T5,"4")</formula>
    </cfRule>
    <cfRule type="expression" dxfId="3683" priority="15">
      <formula>COUNTIF(T5,"1")</formula>
    </cfRule>
  </conditionalFormatting>
  <conditionalFormatting sqref="U5:U36">
    <cfRule type="expression" dxfId="3682" priority="11">
      <formula>COUNTIF(T5,"6")</formula>
    </cfRule>
  </conditionalFormatting>
  <conditionalFormatting sqref="V32">
    <cfRule type="cellIs" dxfId="3681" priority="1" operator="lessThan">
      <formula>0</formula>
    </cfRule>
    <cfRule type="cellIs" dxfId="368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3FBF7359-63B9-DE45-B880-80D72A47B07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D6CD-EDC1-8046-B91A-362A41080B67}">
  <sheetPr codeName="Tabelle79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34</v>
      </c>
      <c r="Q1" s="176"/>
      <c r="R1" s="79">
        <f>DATE(V1,1,7*P1-3-WEEKDAY(DATE(V1,,),3))</f>
        <v>45523</v>
      </c>
      <c r="S1" s="80" t="s">
        <v>1</v>
      </c>
      <c r="T1" s="177">
        <f>DATE(V1,1,7*P1+3-WEEKDAY(DATE(V1,,),3))</f>
        <v>45529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45523</v>
      </c>
      <c r="B2" s="178"/>
      <c r="C2" s="178"/>
      <c r="D2" s="178">
        <f>A2+1</f>
        <v>45524</v>
      </c>
      <c r="E2" s="179"/>
      <c r="F2" s="179"/>
      <c r="G2" s="178">
        <f>D2+1</f>
        <v>45525</v>
      </c>
      <c r="H2" s="179"/>
      <c r="I2" s="179"/>
      <c r="J2" s="178">
        <f>G2+1</f>
        <v>45526</v>
      </c>
      <c r="K2" s="179"/>
      <c r="L2" s="179"/>
      <c r="M2" s="178">
        <f>J2+1</f>
        <v>45527</v>
      </c>
      <c r="N2" s="179"/>
      <c r="O2" s="179"/>
      <c r="P2" s="178">
        <f>M2+1</f>
        <v>45528</v>
      </c>
      <c r="Q2" s="179"/>
      <c r="R2" s="179"/>
      <c r="S2" s="178">
        <f>P2+1</f>
        <v>45529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45523</v>
      </c>
      <c r="B3" s="168"/>
      <c r="C3" s="168"/>
      <c r="D3" s="168">
        <f>A3+1</f>
        <v>45524</v>
      </c>
      <c r="E3" s="168"/>
      <c r="F3" s="168"/>
      <c r="G3" s="168">
        <f>D3+1</f>
        <v>45525</v>
      </c>
      <c r="H3" s="168"/>
      <c r="I3" s="168"/>
      <c r="J3" s="168">
        <f>G3+1</f>
        <v>45526</v>
      </c>
      <c r="K3" s="168"/>
      <c r="L3" s="168"/>
      <c r="M3" s="168">
        <f>J3+1</f>
        <v>45527</v>
      </c>
      <c r="N3" s="168"/>
      <c r="O3" s="168"/>
      <c r="P3" s="168">
        <f>M3+1</f>
        <v>45528</v>
      </c>
      <c r="Q3" s="168"/>
      <c r="R3" s="168"/>
      <c r="S3" s="168">
        <f>P3+1</f>
        <v>45529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45523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45524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45525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45526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45527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45528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45529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33'!V32</f>
        <v>-1320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-1360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679" priority="159">
      <formula>COUNTIF(B5,"a")</formula>
    </cfRule>
    <cfRule type="expression" dxfId="3678" priority="161">
      <formula>COUNTIF(B5,"9")</formula>
    </cfRule>
    <cfRule type="expression" dxfId="3677" priority="163">
      <formula>COUNTIF(B5,"k")</formula>
    </cfRule>
    <cfRule type="expression" dxfId="3676" priority="164">
      <formula>COUNTIF(B5,"u")</formula>
    </cfRule>
    <cfRule type="expression" dxfId="3675" priority="167">
      <formula>COUNTIF(B5,"f")</formula>
    </cfRule>
    <cfRule type="expression" dxfId="3674" priority="168">
      <formula>COUNTIF(B5,"8")</formula>
    </cfRule>
    <cfRule type="expression" dxfId="3673" priority="169">
      <formula>COUNTIF(B5,"7")</formula>
    </cfRule>
    <cfRule type="expression" dxfId="3672" priority="170">
      <formula>COUNTIF(B5,"3")</formula>
    </cfRule>
    <cfRule type="expression" dxfId="3671" priority="181">
      <formula>COUNTIF(B5,"5")</formula>
    </cfRule>
    <cfRule type="expression" dxfId="3670" priority="182">
      <formula>COUNTIF(B5,"2")</formula>
    </cfRule>
    <cfRule type="expression" dxfId="3669" priority="183">
      <formula>COUNTIF(B5,"4")</formula>
    </cfRule>
    <cfRule type="expression" dxfId="3668" priority="184">
      <formula>COUNTIF(B5,"1")</formula>
    </cfRule>
  </conditionalFormatting>
  <conditionalFormatting sqref="B5:B36">
    <cfRule type="cellIs" dxfId="3667" priority="160" operator="equal">
      <formula>"a"</formula>
    </cfRule>
    <cfRule type="cellIs" dxfId="3666" priority="162" operator="equal">
      <formula>"k"</formula>
    </cfRule>
    <cfRule type="cellIs" dxfId="3665" priority="165" operator="equal">
      <formula>"u"</formula>
    </cfRule>
    <cfRule type="cellIs" dxfId="3664" priority="166" operator="equal">
      <formula>"f"</formula>
    </cfRule>
    <cfRule type="cellIs" dxfId="3663" priority="171" operator="equal">
      <formula>9</formula>
    </cfRule>
    <cfRule type="cellIs" dxfId="3662" priority="172" operator="equal">
      <formula>8</formula>
    </cfRule>
    <cfRule type="cellIs" dxfId="3661" priority="173" operator="equal">
      <formula>5</formula>
    </cfRule>
    <cfRule type="cellIs" dxfId="3660" priority="174" operator="equal">
      <formula>3</formula>
    </cfRule>
    <cfRule type="cellIs" dxfId="3659" priority="176" operator="equal">
      <formula>6</formula>
    </cfRule>
    <cfRule type="cellIs" dxfId="3658" priority="177" operator="equal">
      <formula>4</formula>
    </cfRule>
    <cfRule type="cellIs" dxfId="3657" priority="178" operator="equal">
      <formula>2</formula>
    </cfRule>
    <cfRule type="cellIs" dxfId="3656" priority="179" operator="equal">
      <formula>7</formula>
    </cfRule>
    <cfRule type="cellIs" dxfId="3655" priority="180" operator="equal">
      <formula>1</formula>
    </cfRule>
  </conditionalFormatting>
  <conditionalFormatting sqref="C5:C36">
    <cfRule type="expression" dxfId="3654" priority="175">
      <formula>COUNTIF(B5,"6")</formula>
    </cfRule>
  </conditionalFormatting>
  <conditionalFormatting sqref="E5:E36">
    <cfRule type="cellIs" dxfId="3653" priority="146" operator="equal">
      <formula>"a"</formula>
    </cfRule>
    <cfRule type="cellIs" dxfId="3652" priority="147" operator="equal">
      <formula>"k"</formula>
    </cfRule>
    <cfRule type="cellIs" dxfId="3651" priority="148" operator="equal">
      <formula>"u"</formula>
    </cfRule>
    <cfRule type="cellIs" dxfId="3650" priority="149" operator="equal">
      <formula>"f"</formula>
    </cfRule>
    <cfRule type="cellIs" dxfId="3649" priority="150" operator="equal">
      <formula>9</formula>
    </cfRule>
    <cfRule type="cellIs" dxfId="3648" priority="151" operator="equal">
      <formula>8</formula>
    </cfRule>
    <cfRule type="cellIs" dxfId="3647" priority="152" operator="equal">
      <formula>5</formula>
    </cfRule>
    <cfRule type="cellIs" dxfId="3646" priority="153" operator="equal">
      <formula>3</formula>
    </cfRule>
    <cfRule type="cellIs" dxfId="3645" priority="154" operator="equal">
      <formula>6</formula>
    </cfRule>
    <cfRule type="cellIs" dxfId="3644" priority="155" operator="equal">
      <formula>4</formula>
    </cfRule>
    <cfRule type="cellIs" dxfId="3643" priority="156" operator="equal">
      <formula>2</formula>
    </cfRule>
    <cfRule type="cellIs" dxfId="3642" priority="157" operator="equal">
      <formula>7</formula>
    </cfRule>
    <cfRule type="cellIs" dxfId="3641" priority="158" operator="equal">
      <formula>1</formula>
    </cfRule>
  </conditionalFormatting>
  <conditionalFormatting sqref="H5:H36">
    <cfRule type="cellIs" dxfId="3640" priority="133" operator="equal">
      <formula>"a"</formula>
    </cfRule>
    <cfRule type="cellIs" dxfId="3639" priority="134" operator="equal">
      <formula>"k"</formula>
    </cfRule>
    <cfRule type="cellIs" dxfId="3638" priority="135" operator="equal">
      <formula>"u"</formula>
    </cfRule>
    <cfRule type="cellIs" dxfId="3637" priority="136" operator="equal">
      <formula>"f"</formula>
    </cfRule>
    <cfRule type="cellIs" dxfId="3636" priority="137" operator="equal">
      <formula>9</formula>
    </cfRule>
    <cfRule type="cellIs" dxfId="3635" priority="138" operator="equal">
      <formula>8</formula>
    </cfRule>
    <cfRule type="cellIs" dxfId="3634" priority="139" operator="equal">
      <formula>5</formula>
    </cfRule>
    <cfRule type="cellIs" dxfId="3633" priority="140" operator="equal">
      <formula>3</formula>
    </cfRule>
    <cfRule type="cellIs" dxfId="3632" priority="141" operator="equal">
      <formula>6</formula>
    </cfRule>
    <cfRule type="cellIs" dxfId="3631" priority="142" operator="equal">
      <formula>4</formula>
    </cfRule>
    <cfRule type="cellIs" dxfId="3630" priority="143" operator="equal">
      <formula>2</formula>
    </cfRule>
    <cfRule type="cellIs" dxfId="3629" priority="144" operator="equal">
      <formula>7</formula>
    </cfRule>
    <cfRule type="cellIs" dxfId="3628" priority="145" operator="equal">
      <formula>1</formula>
    </cfRule>
  </conditionalFormatting>
  <conditionalFormatting sqref="K5:K36">
    <cfRule type="cellIs" dxfId="3627" priority="120" operator="equal">
      <formula>"a"</formula>
    </cfRule>
    <cfRule type="cellIs" dxfId="3626" priority="121" operator="equal">
      <formula>"k"</formula>
    </cfRule>
    <cfRule type="cellIs" dxfId="3625" priority="122" operator="equal">
      <formula>"u"</formula>
    </cfRule>
    <cfRule type="cellIs" dxfId="3624" priority="123" operator="equal">
      <formula>"f"</formula>
    </cfRule>
    <cfRule type="cellIs" dxfId="3623" priority="124" operator="equal">
      <formula>9</formula>
    </cfRule>
    <cfRule type="cellIs" dxfId="3622" priority="125" operator="equal">
      <formula>8</formula>
    </cfRule>
    <cfRule type="cellIs" dxfId="3621" priority="126" operator="equal">
      <formula>5</formula>
    </cfRule>
    <cfRule type="cellIs" dxfId="3620" priority="127" operator="equal">
      <formula>3</formula>
    </cfRule>
    <cfRule type="cellIs" dxfId="3619" priority="128" operator="equal">
      <formula>6</formula>
    </cfRule>
    <cfRule type="cellIs" dxfId="3618" priority="129" operator="equal">
      <formula>4</formula>
    </cfRule>
    <cfRule type="cellIs" dxfId="3617" priority="130" operator="equal">
      <formula>2</formula>
    </cfRule>
    <cfRule type="cellIs" dxfId="3616" priority="131" operator="equal">
      <formula>7</formula>
    </cfRule>
    <cfRule type="cellIs" dxfId="3615" priority="132" operator="equal">
      <formula>1</formula>
    </cfRule>
  </conditionalFormatting>
  <conditionalFormatting sqref="N5:N36">
    <cfRule type="cellIs" dxfId="3614" priority="107" operator="equal">
      <formula>"a"</formula>
    </cfRule>
    <cfRule type="cellIs" dxfId="3613" priority="108" operator="equal">
      <formula>"k"</formula>
    </cfRule>
    <cfRule type="cellIs" dxfId="3612" priority="109" operator="equal">
      <formula>"u"</formula>
    </cfRule>
    <cfRule type="cellIs" dxfId="3611" priority="110" operator="equal">
      <formula>"f"</formula>
    </cfRule>
    <cfRule type="cellIs" dxfId="3610" priority="111" operator="equal">
      <formula>9</formula>
    </cfRule>
    <cfRule type="cellIs" dxfId="3609" priority="112" operator="equal">
      <formula>8</formula>
    </cfRule>
    <cfRule type="cellIs" dxfId="3608" priority="113" operator="equal">
      <formula>5</formula>
    </cfRule>
    <cfRule type="cellIs" dxfId="3607" priority="114" operator="equal">
      <formula>3</formula>
    </cfRule>
    <cfRule type="cellIs" dxfId="3606" priority="115" operator="equal">
      <formula>6</formula>
    </cfRule>
    <cfRule type="cellIs" dxfId="3605" priority="116" operator="equal">
      <formula>4</formula>
    </cfRule>
    <cfRule type="cellIs" dxfId="3604" priority="117" operator="equal">
      <formula>2</formula>
    </cfRule>
    <cfRule type="cellIs" dxfId="3603" priority="118" operator="equal">
      <formula>7</formula>
    </cfRule>
    <cfRule type="cellIs" dxfId="3602" priority="119" operator="equal">
      <formula>1</formula>
    </cfRule>
  </conditionalFormatting>
  <conditionalFormatting sqref="Q5:Q36">
    <cfRule type="cellIs" dxfId="3601" priority="94" operator="equal">
      <formula>"a"</formula>
    </cfRule>
    <cfRule type="cellIs" dxfId="3600" priority="95" operator="equal">
      <formula>"k"</formula>
    </cfRule>
    <cfRule type="cellIs" dxfId="3599" priority="96" operator="equal">
      <formula>"u"</formula>
    </cfRule>
    <cfRule type="cellIs" dxfId="3598" priority="97" operator="equal">
      <formula>"f"</formula>
    </cfRule>
    <cfRule type="cellIs" dxfId="3597" priority="98" operator="equal">
      <formula>9</formula>
    </cfRule>
    <cfRule type="cellIs" dxfId="3596" priority="99" operator="equal">
      <formula>8</formula>
    </cfRule>
    <cfRule type="cellIs" dxfId="3595" priority="100" operator="equal">
      <formula>5</formula>
    </cfRule>
    <cfRule type="cellIs" dxfId="3594" priority="101" operator="equal">
      <formula>3</formula>
    </cfRule>
    <cfRule type="cellIs" dxfId="3593" priority="102" operator="equal">
      <formula>6</formula>
    </cfRule>
    <cfRule type="cellIs" dxfId="3592" priority="103" operator="equal">
      <formula>4</formula>
    </cfRule>
    <cfRule type="cellIs" dxfId="3591" priority="104" operator="equal">
      <formula>2</formula>
    </cfRule>
    <cfRule type="cellIs" dxfId="3590" priority="105" operator="equal">
      <formula>7</formula>
    </cfRule>
    <cfRule type="cellIs" dxfId="3589" priority="106" operator="equal">
      <formula>1</formula>
    </cfRule>
  </conditionalFormatting>
  <conditionalFormatting sqref="T5:T36">
    <cfRule type="cellIs" dxfId="3588" priority="81" operator="equal">
      <formula>"a"</formula>
    </cfRule>
    <cfRule type="cellIs" dxfId="3587" priority="82" operator="equal">
      <formula>"k"</formula>
    </cfRule>
    <cfRule type="cellIs" dxfId="3586" priority="83" operator="equal">
      <formula>"u"</formula>
    </cfRule>
    <cfRule type="cellIs" dxfId="3585" priority="84" operator="equal">
      <formula>"f"</formula>
    </cfRule>
    <cfRule type="cellIs" dxfId="3584" priority="85" operator="equal">
      <formula>9</formula>
    </cfRule>
    <cfRule type="cellIs" dxfId="3583" priority="86" operator="equal">
      <formula>8</formula>
    </cfRule>
    <cfRule type="cellIs" dxfId="3582" priority="87" operator="equal">
      <formula>5</formula>
    </cfRule>
    <cfRule type="cellIs" dxfId="3581" priority="88" operator="equal">
      <formula>3</formula>
    </cfRule>
    <cfRule type="cellIs" dxfId="3580" priority="89" operator="equal">
      <formula>6</formula>
    </cfRule>
    <cfRule type="cellIs" dxfId="3579" priority="90" operator="equal">
      <formula>4</formula>
    </cfRule>
    <cfRule type="cellIs" dxfId="3578" priority="91" operator="equal">
      <formula>2</formula>
    </cfRule>
    <cfRule type="cellIs" dxfId="3577" priority="92" operator="equal">
      <formula>7</formula>
    </cfRule>
    <cfRule type="cellIs" dxfId="3576" priority="93" operator="equal">
      <formula>1</formula>
    </cfRule>
  </conditionalFormatting>
  <conditionalFormatting sqref="F5:F36">
    <cfRule type="expression" dxfId="3575" priority="68">
      <formula>COUNTIF(E5,"a")</formula>
    </cfRule>
    <cfRule type="expression" dxfId="3574" priority="69">
      <formula>COUNTIF(E5,"9")</formula>
    </cfRule>
    <cfRule type="expression" dxfId="3573" priority="70">
      <formula>COUNTIF(E5,"k")</formula>
    </cfRule>
    <cfRule type="expression" dxfId="3572" priority="71">
      <formula>COUNTIF(E5,"u")</formula>
    </cfRule>
    <cfRule type="expression" dxfId="3571" priority="72">
      <formula>COUNTIF(E5,"f")</formula>
    </cfRule>
    <cfRule type="expression" dxfId="3570" priority="73">
      <formula>COUNTIF(E5,"8")</formula>
    </cfRule>
    <cfRule type="expression" dxfId="3569" priority="74">
      <formula>COUNTIF(E5,"7")</formula>
    </cfRule>
    <cfRule type="expression" dxfId="3568" priority="75">
      <formula>COUNTIF(E5,"3")</formula>
    </cfRule>
    <cfRule type="expression" dxfId="3567" priority="77">
      <formula>COUNTIF(E5,"5")</formula>
    </cfRule>
    <cfRule type="expression" dxfId="3566" priority="78">
      <formula>COUNTIF(E5,"2")</formula>
    </cfRule>
    <cfRule type="expression" dxfId="3565" priority="79">
      <formula>COUNTIF(E5,"4")</formula>
    </cfRule>
    <cfRule type="expression" dxfId="3564" priority="80">
      <formula>COUNTIF(E5,"1")</formula>
    </cfRule>
  </conditionalFormatting>
  <conditionalFormatting sqref="F5:F36">
    <cfRule type="expression" dxfId="3563" priority="76">
      <formula>COUNTIF(E5,"6")</formula>
    </cfRule>
  </conditionalFormatting>
  <conditionalFormatting sqref="I5:I36">
    <cfRule type="expression" dxfId="3562" priority="55">
      <formula>COUNTIF(H5,"a")</formula>
    </cfRule>
    <cfRule type="expression" dxfId="3561" priority="56">
      <formula>COUNTIF(H5,"9")</formula>
    </cfRule>
    <cfRule type="expression" dxfId="3560" priority="57">
      <formula>COUNTIF(H5,"k")</formula>
    </cfRule>
    <cfRule type="expression" dxfId="3559" priority="58">
      <formula>COUNTIF(H5,"u")</formula>
    </cfRule>
    <cfRule type="expression" dxfId="3558" priority="59">
      <formula>COUNTIF(H5,"f")</formula>
    </cfRule>
    <cfRule type="expression" dxfId="3557" priority="60">
      <formula>COUNTIF(H5,"8")</formula>
    </cfRule>
    <cfRule type="expression" dxfId="3556" priority="61">
      <formula>COUNTIF(H5,"7")</formula>
    </cfRule>
    <cfRule type="expression" dxfId="3555" priority="62">
      <formula>COUNTIF(H5,"3")</formula>
    </cfRule>
    <cfRule type="expression" dxfId="3554" priority="64">
      <formula>COUNTIF(H5,"5")</formula>
    </cfRule>
    <cfRule type="expression" dxfId="3553" priority="65">
      <formula>COUNTIF(H5,"2")</formula>
    </cfRule>
    <cfRule type="expression" dxfId="3552" priority="66">
      <formula>COUNTIF(H5,"4")</formula>
    </cfRule>
    <cfRule type="expression" dxfId="3551" priority="67">
      <formula>COUNTIF(H5,"1")</formula>
    </cfRule>
  </conditionalFormatting>
  <conditionalFormatting sqref="I5:I36">
    <cfRule type="expression" dxfId="3550" priority="63">
      <formula>COUNTIF(H5,"6")</formula>
    </cfRule>
  </conditionalFormatting>
  <conditionalFormatting sqref="L5:L36">
    <cfRule type="expression" dxfId="3549" priority="42">
      <formula>COUNTIF(K5,"a")</formula>
    </cfRule>
    <cfRule type="expression" dxfId="3548" priority="43">
      <formula>COUNTIF(K5,"9")</formula>
    </cfRule>
    <cfRule type="expression" dxfId="3547" priority="44">
      <formula>COUNTIF(K5,"k")</formula>
    </cfRule>
    <cfRule type="expression" dxfId="3546" priority="45">
      <formula>COUNTIF(K5,"u")</formula>
    </cfRule>
    <cfRule type="expression" dxfId="3545" priority="46">
      <formula>COUNTIF(K5,"f")</formula>
    </cfRule>
    <cfRule type="expression" dxfId="3544" priority="47">
      <formula>COUNTIF(K5,"8")</formula>
    </cfRule>
    <cfRule type="expression" dxfId="3543" priority="48">
      <formula>COUNTIF(K5,"7")</formula>
    </cfRule>
    <cfRule type="expression" dxfId="3542" priority="49">
      <formula>COUNTIF(K5,"3")</formula>
    </cfRule>
    <cfRule type="expression" dxfId="3541" priority="51">
      <formula>COUNTIF(K5,"5")</formula>
    </cfRule>
    <cfRule type="expression" dxfId="3540" priority="52">
      <formula>COUNTIF(K5,"2")</formula>
    </cfRule>
    <cfRule type="expression" dxfId="3539" priority="53">
      <formula>COUNTIF(K5,"4")</formula>
    </cfRule>
    <cfRule type="expression" dxfId="3538" priority="54">
      <formula>COUNTIF(K5,"1")</formula>
    </cfRule>
  </conditionalFormatting>
  <conditionalFormatting sqref="L5:L36">
    <cfRule type="expression" dxfId="3537" priority="50">
      <formula>COUNTIF(K5,"6")</formula>
    </cfRule>
  </conditionalFormatting>
  <conditionalFormatting sqref="O5:O36">
    <cfRule type="expression" dxfId="3536" priority="29">
      <formula>COUNTIF(N5,"a")</formula>
    </cfRule>
    <cfRule type="expression" dxfId="3535" priority="30">
      <formula>COUNTIF(N5,"9")</formula>
    </cfRule>
    <cfRule type="expression" dxfId="3534" priority="31">
      <formula>COUNTIF(N5,"k")</formula>
    </cfRule>
    <cfRule type="expression" dxfId="3533" priority="32">
      <formula>COUNTIF(N5,"u")</formula>
    </cfRule>
    <cfRule type="expression" dxfId="3532" priority="33">
      <formula>COUNTIF(N5,"f")</formula>
    </cfRule>
    <cfRule type="expression" dxfId="3531" priority="34">
      <formula>COUNTIF(N5,"8")</formula>
    </cfRule>
    <cfRule type="expression" dxfId="3530" priority="35">
      <formula>COUNTIF(N5,"7")</formula>
    </cfRule>
    <cfRule type="expression" dxfId="3529" priority="36">
      <formula>COUNTIF(N5,"3")</formula>
    </cfRule>
    <cfRule type="expression" dxfId="3528" priority="38">
      <formula>COUNTIF(N5,"5")</formula>
    </cfRule>
    <cfRule type="expression" dxfId="3527" priority="39">
      <formula>COUNTIF(N5,"2")</formula>
    </cfRule>
    <cfRule type="expression" dxfId="3526" priority="40">
      <formula>COUNTIF(N5,"4")</formula>
    </cfRule>
    <cfRule type="expression" dxfId="3525" priority="41">
      <formula>COUNTIF(N5,"1")</formula>
    </cfRule>
  </conditionalFormatting>
  <conditionalFormatting sqref="O5:O36">
    <cfRule type="expression" dxfId="3524" priority="37">
      <formula>COUNTIF(N5,"6")</formula>
    </cfRule>
  </conditionalFormatting>
  <conditionalFormatting sqref="R5:R36">
    <cfRule type="expression" dxfId="3523" priority="16">
      <formula>COUNTIF(Q5,"a")</formula>
    </cfRule>
    <cfRule type="expression" dxfId="3522" priority="17">
      <formula>COUNTIF(Q5,"9")</formula>
    </cfRule>
    <cfRule type="expression" dxfId="3521" priority="18">
      <formula>COUNTIF(Q5,"k")</formula>
    </cfRule>
    <cfRule type="expression" dxfId="3520" priority="19">
      <formula>COUNTIF(Q5,"u")</formula>
    </cfRule>
    <cfRule type="expression" dxfId="3519" priority="20">
      <formula>COUNTIF(Q5,"f")</formula>
    </cfRule>
    <cfRule type="expression" dxfId="3518" priority="21">
      <formula>COUNTIF(Q5,"8")</formula>
    </cfRule>
    <cfRule type="expression" dxfId="3517" priority="22">
      <formula>COUNTIF(Q5,"7")</formula>
    </cfRule>
    <cfRule type="expression" dxfId="3516" priority="23">
      <formula>COUNTIF(Q5,"3")</formula>
    </cfRule>
    <cfRule type="expression" dxfId="3515" priority="25">
      <formula>COUNTIF(Q5,"5")</formula>
    </cfRule>
    <cfRule type="expression" dxfId="3514" priority="26">
      <formula>COUNTIF(Q5,"2")</formula>
    </cfRule>
    <cfRule type="expression" dxfId="3513" priority="27">
      <formula>COUNTIF(Q5,"4")</formula>
    </cfRule>
    <cfRule type="expression" dxfId="3512" priority="28">
      <formula>COUNTIF(Q5,"1")</formula>
    </cfRule>
  </conditionalFormatting>
  <conditionalFormatting sqref="R5:R36">
    <cfRule type="expression" dxfId="3511" priority="24">
      <formula>COUNTIF(Q5,"6")</formula>
    </cfRule>
  </conditionalFormatting>
  <conditionalFormatting sqref="U5:U36">
    <cfRule type="expression" dxfId="3510" priority="3">
      <formula>COUNTIF(T5,"a")</formula>
    </cfRule>
    <cfRule type="expression" dxfId="3509" priority="4">
      <formula>COUNTIF(T5,"9")</formula>
    </cfRule>
    <cfRule type="expression" dxfId="3508" priority="5">
      <formula>COUNTIF(T5,"k")</formula>
    </cfRule>
    <cfRule type="expression" dxfId="3507" priority="6">
      <formula>COUNTIF(T5,"u")</formula>
    </cfRule>
    <cfRule type="expression" dxfId="3506" priority="7">
      <formula>COUNTIF(T5,"f")</formula>
    </cfRule>
    <cfRule type="expression" dxfId="3505" priority="8">
      <formula>COUNTIF(T5,"8")</formula>
    </cfRule>
    <cfRule type="expression" dxfId="3504" priority="9">
      <formula>COUNTIF(T5,"7")</formula>
    </cfRule>
    <cfRule type="expression" dxfId="3503" priority="10">
      <formula>COUNTIF(T5,"3")</formula>
    </cfRule>
    <cfRule type="expression" dxfId="3502" priority="12">
      <formula>COUNTIF(T5,"5")</formula>
    </cfRule>
    <cfRule type="expression" dxfId="3501" priority="13">
      <formula>COUNTIF(T5,"2")</formula>
    </cfRule>
    <cfRule type="expression" dxfId="3500" priority="14">
      <formula>COUNTIF(T5,"4")</formula>
    </cfRule>
    <cfRule type="expression" dxfId="3499" priority="15">
      <formula>COUNTIF(T5,"1")</formula>
    </cfRule>
  </conditionalFormatting>
  <conditionalFormatting sqref="U5:U36">
    <cfRule type="expression" dxfId="3498" priority="11">
      <formula>COUNTIF(T5,"6")</formula>
    </cfRule>
  </conditionalFormatting>
  <conditionalFormatting sqref="V32">
    <cfRule type="cellIs" dxfId="3497" priority="1" operator="lessThan">
      <formula>0</formula>
    </cfRule>
    <cfRule type="cellIs" dxfId="349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AD9210CD-1BAA-344D-B483-0971B6927966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49CC-018E-E049-8D22-B44EDEFDD1C4}">
  <sheetPr codeName="Tabelle80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35</v>
      </c>
      <c r="Q1" s="176"/>
      <c r="R1" s="79">
        <f>DATE(V1,1,7*P1-3-WEEKDAY(DATE(V1,,),3))</f>
        <v>45530</v>
      </c>
      <c r="S1" s="80" t="s">
        <v>1</v>
      </c>
      <c r="T1" s="177">
        <f>DATE(V1,1,7*P1+3-WEEKDAY(DATE(V1,,),3))</f>
        <v>45536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45530</v>
      </c>
      <c r="B2" s="178"/>
      <c r="C2" s="178"/>
      <c r="D2" s="178">
        <f>A2+1</f>
        <v>45531</v>
      </c>
      <c r="E2" s="179"/>
      <c r="F2" s="179"/>
      <c r="G2" s="178">
        <f>D2+1</f>
        <v>45532</v>
      </c>
      <c r="H2" s="179"/>
      <c r="I2" s="179"/>
      <c r="J2" s="178">
        <f>G2+1</f>
        <v>45533</v>
      </c>
      <c r="K2" s="179"/>
      <c r="L2" s="179"/>
      <c r="M2" s="178">
        <f>J2+1</f>
        <v>45534</v>
      </c>
      <c r="N2" s="179"/>
      <c r="O2" s="179"/>
      <c r="P2" s="178">
        <f>M2+1</f>
        <v>45535</v>
      </c>
      <c r="Q2" s="179"/>
      <c r="R2" s="179"/>
      <c r="S2" s="178">
        <f>P2+1</f>
        <v>45536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45530</v>
      </c>
      <c r="B3" s="168"/>
      <c r="C3" s="168"/>
      <c r="D3" s="168">
        <f>A3+1</f>
        <v>45531</v>
      </c>
      <c r="E3" s="168"/>
      <c r="F3" s="168"/>
      <c r="G3" s="168">
        <f>D3+1</f>
        <v>45532</v>
      </c>
      <c r="H3" s="168"/>
      <c r="I3" s="168"/>
      <c r="J3" s="168">
        <f>G3+1</f>
        <v>45533</v>
      </c>
      <c r="K3" s="168"/>
      <c r="L3" s="168"/>
      <c r="M3" s="168">
        <f>J3+1</f>
        <v>45534</v>
      </c>
      <c r="N3" s="168"/>
      <c r="O3" s="168"/>
      <c r="P3" s="168">
        <f>M3+1</f>
        <v>45535</v>
      </c>
      <c r="Q3" s="168"/>
      <c r="R3" s="168"/>
      <c r="S3" s="168">
        <f>P3+1</f>
        <v>45536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45530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45531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45532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45533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45534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45535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45536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34'!V32</f>
        <v>-1360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-1400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495" priority="159">
      <formula>COUNTIF(B5,"a")</formula>
    </cfRule>
    <cfRule type="expression" dxfId="3494" priority="161">
      <formula>COUNTIF(B5,"9")</formula>
    </cfRule>
    <cfRule type="expression" dxfId="3493" priority="163">
      <formula>COUNTIF(B5,"k")</formula>
    </cfRule>
    <cfRule type="expression" dxfId="3492" priority="164">
      <formula>COUNTIF(B5,"u")</formula>
    </cfRule>
    <cfRule type="expression" dxfId="3491" priority="167">
      <formula>COUNTIF(B5,"f")</formula>
    </cfRule>
    <cfRule type="expression" dxfId="3490" priority="168">
      <formula>COUNTIF(B5,"8")</formula>
    </cfRule>
    <cfRule type="expression" dxfId="3489" priority="169">
      <formula>COUNTIF(B5,"7")</formula>
    </cfRule>
    <cfRule type="expression" dxfId="3488" priority="170">
      <formula>COUNTIF(B5,"3")</formula>
    </cfRule>
    <cfRule type="expression" dxfId="3487" priority="181">
      <formula>COUNTIF(B5,"5")</formula>
    </cfRule>
    <cfRule type="expression" dxfId="3486" priority="182">
      <formula>COUNTIF(B5,"2")</formula>
    </cfRule>
    <cfRule type="expression" dxfId="3485" priority="183">
      <formula>COUNTIF(B5,"4")</formula>
    </cfRule>
    <cfRule type="expression" dxfId="3484" priority="184">
      <formula>COUNTIF(B5,"1")</formula>
    </cfRule>
  </conditionalFormatting>
  <conditionalFormatting sqref="B5:B36">
    <cfRule type="cellIs" dxfId="3483" priority="160" operator="equal">
      <formula>"a"</formula>
    </cfRule>
    <cfRule type="cellIs" dxfId="3482" priority="162" operator="equal">
      <formula>"k"</formula>
    </cfRule>
    <cfRule type="cellIs" dxfId="3481" priority="165" operator="equal">
      <formula>"u"</formula>
    </cfRule>
    <cfRule type="cellIs" dxfId="3480" priority="166" operator="equal">
      <formula>"f"</formula>
    </cfRule>
    <cfRule type="cellIs" dxfId="3479" priority="171" operator="equal">
      <formula>9</formula>
    </cfRule>
    <cfRule type="cellIs" dxfId="3478" priority="172" operator="equal">
      <formula>8</formula>
    </cfRule>
    <cfRule type="cellIs" dxfId="3477" priority="173" operator="equal">
      <formula>5</formula>
    </cfRule>
    <cfRule type="cellIs" dxfId="3476" priority="174" operator="equal">
      <formula>3</formula>
    </cfRule>
    <cfRule type="cellIs" dxfId="3475" priority="176" operator="equal">
      <formula>6</formula>
    </cfRule>
    <cfRule type="cellIs" dxfId="3474" priority="177" operator="equal">
      <formula>4</formula>
    </cfRule>
    <cfRule type="cellIs" dxfId="3473" priority="178" operator="equal">
      <formula>2</formula>
    </cfRule>
    <cfRule type="cellIs" dxfId="3472" priority="179" operator="equal">
      <formula>7</formula>
    </cfRule>
    <cfRule type="cellIs" dxfId="3471" priority="180" operator="equal">
      <formula>1</formula>
    </cfRule>
  </conditionalFormatting>
  <conditionalFormatting sqref="C5:C36">
    <cfRule type="expression" dxfId="3470" priority="175">
      <formula>COUNTIF(B5,"6")</formula>
    </cfRule>
  </conditionalFormatting>
  <conditionalFormatting sqref="E5:E36">
    <cfRule type="cellIs" dxfId="3469" priority="146" operator="equal">
      <formula>"a"</formula>
    </cfRule>
    <cfRule type="cellIs" dxfId="3468" priority="147" operator="equal">
      <formula>"k"</formula>
    </cfRule>
    <cfRule type="cellIs" dxfId="3467" priority="148" operator="equal">
      <formula>"u"</formula>
    </cfRule>
    <cfRule type="cellIs" dxfId="3466" priority="149" operator="equal">
      <formula>"f"</formula>
    </cfRule>
    <cfRule type="cellIs" dxfId="3465" priority="150" operator="equal">
      <formula>9</formula>
    </cfRule>
    <cfRule type="cellIs" dxfId="3464" priority="151" operator="equal">
      <formula>8</formula>
    </cfRule>
    <cfRule type="cellIs" dxfId="3463" priority="152" operator="equal">
      <formula>5</formula>
    </cfRule>
    <cfRule type="cellIs" dxfId="3462" priority="153" operator="equal">
      <formula>3</formula>
    </cfRule>
    <cfRule type="cellIs" dxfId="3461" priority="154" operator="equal">
      <formula>6</formula>
    </cfRule>
    <cfRule type="cellIs" dxfId="3460" priority="155" operator="equal">
      <formula>4</formula>
    </cfRule>
    <cfRule type="cellIs" dxfId="3459" priority="156" operator="equal">
      <formula>2</formula>
    </cfRule>
    <cfRule type="cellIs" dxfId="3458" priority="157" operator="equal">
      <formula>7</formula>
    </cfRule>
    <cfRule type="cellIs" dxfId="3457" priority="158" operator="equal">
      <formula>1</formula>
    </cfRule>
  </conditionalFormatting>
  <conditionalFormatting sqref="H5:H36">
    <cfRule type="cellIs" dxfId="3456" priority="133" operator="equal">
      <formula>"a"</formula>
    </cfRule>
    <cfRule type="cellIs" dxfId="3455" priority="134" operator="equal">
      <formula>"k"</formula>
    </cfRule>
    <cfRule type="cellIs" dxfId="3454" priority="135" operator="equal">
      <formula>"u"</formula>
    </cfRule>
    <cfRule type="cellIs" dxfId="3453" priority="136" operator="equal">
      <formula>"f"</formula>
    </cfRule>
    <cfRule type="cellIs" dxfId="3452" priority="137" operator="equal">
      <formula>9</formula>
    </cfRule>
    <cfRule type="cellIs" dxfId="3451" priority="138" operator="equal">
      <formula>8</formula>
    </cfRule>
    <cfRule type="cellIs" dxfId="3450" priority="139" operator="equal">
      <formula>5</formula>
    </cfRule>
    <cfRule type="cellIs" dxfId="3449" priority="140" operator="equal">
      <formula>3</formula>
    </cfRule>
    <cfRule type="cellIs" dxfId="3448" priority="141" operator="equal">
      <formula>6</formula>
    </cfRule>
    <cfRule type="cellIs" dxfId="3447" priority="142" operator="equal">
      <formula>4</formula>
    </cfRule>
    <cfRule type="cellIs" dxfId="3446" priority="143" operator="equal">
      <formula>2</formula>
    </cfRule>
    <cfRule type="cellIs" dxfId="3445" priority="144" operator="equal">
      <formula>7</formula>
    </cfRule>
    <cfRule type="cellIs" dxfId="3444" priority="145" operator="equal">
      <formula>1</formula>
    </cfRule>
  </conditionalFormatting>
  <conditionalFormatting sqref="K5:K36">
    <cfRule type="cellIs" dxfId="3443" priority="120" operator="equal">
      <formula>"a"</formula>
    </cfRule>
    <cfRule type="cellIs" dxfId="3442" priority="121" operator="equal">
      <formula>"k"</formula>
    </cfRule>
    <cfRule type="cellIs" dxfId="3441" priority="122" operator="equal">
      <formula>"u"</formula>
    </cfRule>
    <cfRule type="cellIs" dxfId="3440" priority="123" operator="equal">
      <formula>"f"</formula>
    </cfRule>
    <cfRule type="cellIs" dxfId="3439" priority="124" operator="equal">
      <formula>9</formula>
    </cfRule>
    <cfRule type="cellIs" dxfId="3438" priority="125" operator="equal">
      <formula>8</formula>
    </cfRule>
    <cfRule type="cellIs" dxfId="3437" priority="126" operator="equal">
      <formula>5</formula>
    </cfRule>
    <cfRule type="cellIs" dxfId="3436" priority="127" operator="equal">
      <formula>3</formula>
    </cfRule>
    <cfRule type="cellIs" dxfId="3435" priority="128" operator="equal">
      <formula>6</formula>
    </cfRule>
    <cfRule type="cellIs" dxfId="3434" priority="129" operator="equal">
      <formula>4</formula>
    </cfRule>
    <cfRule type="cellIs" dxfId="3433" priority="130" operator="equal">
      <formula>2</formula>
    </cfRule>
    <cfRule type="cellIs" dxfId="3432" priority="131" operator="equal">
      <formula>7</formula>
    </cfRule>
    <cfRule type="cellIs" dxfId="3431" priority="132" operator="equal">
      <formula>1</formula>
    </cfRule>
  </conditionalFormatting>
  <conditionalFormatting sqref="N5:N36">
    <cfRule type="cellIs" dxfId="3430" priority="107" operator="equal">
      <formula>"a"</formula>
    </cfRule>
    <cfRule type="cellIs" dxfId="3429" priority="108" operator="equal">
      <formula>"k"</formula>
    </cfRule>
    <cfRule type="cellIs" dxfId="3428" priority="109" operator="equal">
      <formula>"u"</formula>
    </cfRule>
    <cfRule type="cellIs" dxfId="3427" priority="110" operator="equal">
      <formula>"f"</formula>
    </cfRule>
    <cfRule type="cellIs" dxfId="3426" priority="111" operator="equal">
      <formula>9</formula>
    </cfRule>
    <cfRule type="cellIs" dxfId="3425" priority="112" operator="equal">
      <formula>8</formula>
    </cfRule>
    <cfRule type="cellIs" dxfId="3424" priority="113" operator="equal">
      <formula>5</formula>
    </cfRule>
    <cfRule type="cellIs" dxfId="3423" priority="114" operator="equal">
      <formula>3</formula>
    </cfRule>
    <cfRule type="cellIs" dxfId="3422" priority="115" operator="equal">
      <formula>6</formula>
    </cfRule>
    <cfRule type="cellIs" dxfId="3421" priority="116" operator="equal">
      <formula>4</formula>
    </cfRule>
    <cfRule type="cellIs" dxfId="3420" priority="117" operator="equal">
      <formula>2</formula>
    </cfRule>
    <cfRule type="cellIs" dxfId="3419" priority="118" operator="equal">
      <formula>7</formula>
    </cfRule>
    <cfRule type="cellIs" dxfId="3418" priority="119" operator="equal">
      <formula>1</formula>
    </cfRule>
  </conditionalFormatting>
  <conditionalFormatting sqref="Q5:Q36">
    <cfRule type="cellIs" dxfId="3417" priority="94" operator="equal">
      <formula>"a"</formula>
    </cfRule>
    <cfRule type="cellIs" dxfId="3416" priority="95" operator="equal">
      <formula>"k"</formula>
    </cfRule>
    <cfRule type="cellIs" dxfId="3415" priority="96" operator="equal">
      <formula>"u"</formula>
    </cfRule>
    <cfRule type="cellIs" dxfId="3414" priority="97" operator="equal">
      <formula>"f"</formula>
    </cfRule>
    <cfRule type="cellIs" dxfId="3413" priority="98" operator="equal">
      <formula>9</formula>
    </cfRule>
    <cfRule type="cellIs" dxfId="3412" priority="99" operator="equal">
      <formula>8</formula>
    </cfRule>
    <cfRule type="cellIs" dxfId="3411" priority="100" operator="equal">
      <formula>5</formula>
    </cfRule>
    <cfRule type="cellIs" dxfId="3410" priority="101" operator="equal">
      <formula>3</formula>
    </cfRule>
    <cfRule type="cellIs" dxfId="3409" priority="102" operator="equal">
      <formula>6</formula>
    </cfRule>
    <cfRule type="cellIs" dxfId="3408" priority="103" operator="equal">
      <formula>4</formula>
    </cfRule>
    <cfRule type="cellIs" dxfId="3407" priority="104" operator="equal">
      <formula>2</formula>
    </cfRule>
    <cfRule type="cellIs" dxfId="3406" priority="105" operator="equal">
      <formula>7</formula>
    </cfRule>
    <cfRule type="cellIs" dxfId="3405" priority="106" operator="equal">
      <formula>1</formula>
    </cfRule>
  </conditionalFormatting>
  <conditionalFormatting sqref="T5:T36">
    <cfRule type="cellIs" dxfId="3404" priority="81" operator="equal">
      <formula>"a"</formula>
    </cfRule>
    <cfRule type="cellIs" dxfId="3403" priority="82" operator="equal">
      <formula>"k"</formula>
    </cfRule>
    <cfRule type="cellIs" dxfId="3402" priority="83" operator="equal">
      <formula>"u"</formula>
    </cfRule>
    <cfRule type="cellIs" dxfId="3401" priority="84" operator="equal">
      <formula>"f"</formula>
    </cfRule>
    <cfRule type="cellIs" dxfId="3400" priority="85" operator="equal">
      <formula>9</formula>
    </cfRule>
    <cfRule type="cellIs" dxfId="3399" priority="86" operator="equal">
      <formula>8</formula>
    </cfRule>
    <cfRule type="cellIs" dxfId="3398" priority="87" operator="equal">
      <formula>5</formula>
    </cfRule>
    <cfRule type="cellIs" dxfId="3397" priority="88" operator="equal">
      <formula>3</formula>
    </cfRule>
    <cfRule type="cellIs" dxfId="3396" priority="89" operator="equal">
      <formula>6</formula>
    </cfRule>
    <cfRule type="cellIs" dxfId="3395" priority="90" operator="equal">
      <formula>4</formula>
    </cfRule>
    <cfRule type="cellIs" dxfId="3394" priority="91" operator="equal">
      <formula>2</formula>
    </cfRule>
    <cfRule type="cellIs" dxfId="3393" priority="92" operator="equal">
      <formula>7</formula>
    </cfRule>
    <cfRule type="cellIs" dxfId="3392" priority="93" operator="equal">
      <formula>1</formula>
    </cfRule>
  </conditionalFormatting>
  <conditionalFormatting sqref="F5:F36">
    <cfRule type="expression" dxfId="3391" priority="68">
      <formula>COUNTIF(E5,"a")</formula>
    </cfRule>
    <cfRule type="expression" dxfId="3390" priority="69">
      <formula>COUNTIF(E5,"9")</formula>
    </cfRule>
    <cfRule type="expression" dxfId="3389" priority="70">
      <formula>COUNTIF(E5,"k")</formula>
    </cfRule>
    <cfRule type="expression" dxfId="3388" priority="71">
      <formula>COUNTIF(E5,"u")</formula>
    </cfRule>
    <cfRule type="expression" dxfId="3387" priority="72">
      <formula>COUNTIF(E5,"f")</formula>
    </cfRule>
    <cfRule type="expression" dxfId="3386" priority="73">
      <formula>COUNTIF(E5,"8")</formula>
    </cfRule>
    <cfRule type="expression" dxfId="3385" priority="74">
      <formula>COUNTIF(E5,"7")</formula>
    </cfRule>
    <cfRule type="expression" dxfId="3384" priority="75">
      <formula>COUNTIF(E5,"3")</formula>
    </cfRule>
    <cfRule type="expression" dxfId="3383" priority="77">
      <formula>COUNTIF(E5,"5")</formula>
    </cfRule>
    <cfRule type="expression" dxfId="3382" priority="78">
      <formula>COUNTIF(E5,"2")</formula>
    </cfRule>
    <cfRule type="expression" dxfId="3381" priority="79">
      <formula>COUNTIF(E5,"4")</formula>
    </cfRule>
    <cfRule type="expression" dxfId="3380" priority="80">
      <formula>COUNTIF(E5,"1")</formula>
    </cfRule>
  </conditionalFormatting>
  <conditionalFormatting sqref="F5:F36">
    <cfRule type="expression" dxfId="3379" priority="76">
      <formula>COUNTIF(E5,"6")</formula>
    </cfRule>
  </conditionalFormatting>
  <conditionalFormatting sqref="I5:I36">
    <cfRule type="expression" dxfId="3378" priority="55">
      <formula>COUNTIF(H5,"a")</formula>
    </cfRule>
    <cfRule type="expression" dxfId="3377" priority="56">
      <formula>COUNTIF(H5,"9")</formula>
    </cfRule>
    <cfRule type="expression" dxfId="3376" priority="57">
      <formula>COUNTIF(H5,"k")</formula>
    </cfRule>
    <cfRule type="expression" dxfId="3375" priority="58">
      <formula>COUNTIF(H5,"u")</formula>
    </cfRule>
    <cfRule type="expression" dxfId="3374" priority="59">
      <formula>COUNTIF(H5,"f")</formula>
    </cfRule>
    <cfRule type="expression" dxfId="3373" priority="60">
      <formula>COUNTIF(H5,"8")</formula>
    </cfRule>
    <cfRule type="expression" dxfId="3372" priority="61">
      <formula>COUNTIF(H5,"7")</formula>
    </cfRule>
    <cfRule type="expression" dxfId="3371" priority="62">
      <formula>COUNTIF(H5,"3")</formula>
    </cfRule>
    <cfRule type="expression" dxfId="3370" priority="64">
      <formula>COUNTIF(H5,"5")</formula>
    </cfRule>
    <cfRule type="expression" dxfId="3369" priority="65">
      <formula>COUNTIF(H5,"2")</formula>
    </cfRule>
    <cfRule type="expression" dxfId="3368" priority="66">
      <formula>COUNTIF(H5,"4")</formula>
    </cfRule>
    <cfRule type="expression" dxfId="3367" priority="67">
      <formula>COUNTIF(H5,"1")</formula>
    </cfRule>
  </conditionalFormatting>
  <conditionalFormatting sqref="I5:I36">
    <cfRule type="expression" dxfId="3366" priority="63">
      <formula>COUNTIF(H5,"6")</formula>
    </cfRule>
  </conditionalFormatting>
  <conditionalFormatting sqref="L5:L36">
    <cfRule type="expression" dxfId="3365" priority="42">
      <formula>COUNTIF(K5,"a")</formula>
    </cfRule>
    <cfRule type="expression" dxfId="3364" priority="43">
      <formula>COUNTIF(K5,"9")</formula>
    </cfRule>
    <cfRule type="expression" dxfId="3363" priority="44">
      <formula>COUNTIF(K5,"k")</formula>
    </cfRule>
    <cfRule type="expression" dxfId="3362" priority="45">
      <formula>COUNTIF(K5,"u")</formula>
    </cfRule>
    <cfRule type="expression" dxfId="3361" priority="46">
      <formula>COUNTIF(K5,"f")</formula>
    </cfRule>
    <cfRule type="expression" dxfId="3360" priority="47">
      <formula>COUNTIF(K5,"8")</formula>
    </cfRule>
    <cfRule type="expression" dxfId="3359" priority="48">
      <formula>COUNTIF(K5,"7")</formula>
    </cfRule>
    <cfRule type="expression" dxfId="3358" priority="49">
      <formula>COUNTIF(K5,"3")</formula>
    </cfRule>
    <cfRule type="expression" dxfId="3357" priority="51">
      <formula>COUNTIF(K5,"5")</formula>
    </cfRule>
    <cfRule type="expression" dxfId="3356" priority="52">
      <formula>COUNTIF(K5,"2")</formula>
    </cfRule>
    <cfRule type="expression" dxfId="3355" priority="53">
      <formula>COUNTIF(K5,"4")</formula>
    </cfRule>
    <cfRule type="expression" dxfId="3354" priority="54">
      <formula>COUNTIF(K5,"1")</formula>
    </cfRule>
  </conditionalFormatting>
  <conditionalFormatting sqref="L5:L36">
    <cfRule type="expression" dxfId="3353" priority="50">
      <formula>COUNTIF(K5,"6")</formula>
    </cfRule>
  </conditionalFormatting>
  <conditionalFormatting sqref="O5:O36">
    <cfRule type="expression" dxfId="3352" priority="29">
      <formula>COUNTIF(N5,"a")</formula>
    </cfRule>
    <cfRule type="expression" dxfId="3351" priority="30">
      <formula>COUNTIF(N5,"9")</formula>
    </cfRule>
    <cfRule type="expression" dxfId="3350" priority="31">
      <formula>COUNTIF(N5,"k")</formula>
    </cfRule>
    <cfRule type="expression" dxfId="3349" priority="32">
      <formula>COUNTIF(N5,"u")</formula>
    </cfRule>
    <cfRule type="expression" dxfId="3348" priority="33">
      <formula>COUNTIF(N5,"f")</formula>
    </cfRule>
    <cfRule type="expression" dxfId="3347" priority="34">
      <formula>COUNTIF(N5,"8")</formula>
    </cfRule>
    <cfRule type="expression" dxfId="3346" priority="35">
      <formula>COUNTIF(N5,"7")</formula>
    </cfRule>
    <cfRule type="expression" dxfId="3345" priority="36">
      <formula>COUNTIF(N5,"3")</formula>
    </cfRule>
    <cfRule type="expression" dxfId="3344" priority="38">
      <formula>COUNTIF(N5,"5")</formula>
    </cfRule>
    <cfRule type="expression" dxfId="3343" priority="39">
      <formula>COUNTIF(N5,"2")</formula>
    </cfRule>
    <cfRule type="expression" dxfId="3342" priority="40">
      <formula>COUNTIF(N5,"4")</formula>
    </cfRule>
    <cfRule type="expression" dxfId="3341" priority="41">
      <formula>COUNTIF(N5,"1")</formula>
    </cfRule>
  </conditionalFormatting>
  <conditionalFormatting sqref="O5:O36">
    <cfRule type="expression" dxfId="3340" priority="37">
      <formula>COUNTIF(N5,"6")</formula>
    </cfRule>
  </conditionalFormatting>
  <conditionalFormatting sqref="R5:R36">
    <cfRule type="expression" dxfId="3339" priority="16">
      <formula>COUNTIF(Q5,"a")</formula>
    </cfRule>
    <cfRule type="expression" dxfId="3338" priority="17">
      <formula>COUNTIF(Q5,"9")</formula>
    </cfRule>
    <cfRule type="expression" dxfId="3337" priority="18">
      <formula>COUNTIF(Q5,"k")</formula>
    </cfRule>
    <cfRule type="expression" dxfId="3336" priority="19">
      <formula>COUNTIF(Q5,"u")</formula>
    </cfRule>
    <cfRule type="expression" dxfId="3335" priority="20">
      <formula>COUNTIF(Q5,"f")</formula>
    </cfRule>
    <cfRule type="expression" dxfId="3334" priority="21">
      <formula>COUNTIF(Q5,"8")</formula>
    </cfRule>
    <cfRule type="expression" dxfId="3333" priority="22">
      <formula>COUNTIF(Q5,"7")</formula>
    </cfRule>
    <cfRule type="expression" dxfId="3332" priority="23">
      <formula>COUNTIF(Q5,"3")</formula>
    </cfRule>
    <cfRule type="expression" dxfId="3331" priority="25">
      <formula>COUNTIF(Q5,"5")</formula>
    </cfRule>
    <cfRule type="expression" dxfId="3330" priority="26">
      <formula>COUNTIF(Q5,"2")</formula>
    </cfRule>
    <cfRule type="expression" dxfId="3329" priority="27">
      <formula>COUNTIF(Q5,"4")</formula>
    </cfRule>
    <cfRule type="expression" dxfId="3328" priority="28">
      <formula>COUNTIF(Q5,"1")</formula>
    </cfRule>
  </conditionalFormatting>
  <conditionalFormatting sqref="R5:R36">
    <cfRule type="expression" dxfId="3327" priority="24">
      <formula>COUNTIF(Q5,"6")</formula>
    </cfRule>
  </conditionalFormatting>
  <conditionalFormatting sqref="U5:U36">
    <cfRule type="expression" dxfId="3326" priority="3">
      <formula>COUNTIF(T5,"a")</formula>
    </cfRule>
    <cfRule type="expression" dxfId="3325" priority="4">
      <formula>COUNTIF(T5,"9")</formula>
    </cfRule>
    <cfRule type="expression" dxfId="3324" priority="5">
      <formula>COUNTIF(T5,"k")</formula>
    </cfRule>
    <cfRule type="expression" dxfId="3323" priority="6">
      <formula>COUNTIF(T5,"u")</formula>
    </cfRule>
    <cfRule type="expression" dxfId="3322" priority="7">
      <formula>COUNTIF(T5,"f")</formula>
    </cfRule>
    <cfRule type="expression" dxfId="3321" priority="8">
      <formula>COUNTIF(T5,"8")</formula>
    </cfRule>
    <cfRule type="expression" dxfId="3320" priority="9">
      <formula>COUNTIF(T5,"7")</formula>
    </cfRule>
    <cfRule type="expression" dxfId="3319" priority="10">
      <formula>COUNTIF(T5,"3")</formula>
    </cfRule>
    <cfRule type="expression" dxfId="3318" priority="12">
      <formula>COUNTIF(T5,"5")</formula>
    </cfRule>
    <cfRule type="expression" dxfId="3317" priority="13">
      <formula>COUNTIF(T5,"2")</formula>
    </cfRule>
    <cfRule type="expression" dxfId="3316" priority="14">
      <formula>COUNTIF(T5,"4")</formula>
    </cfRule>
    <cfRule type="expression" dxfId="3315" priority="15">
      <formula>COUNTIF(T5,"1")</formula>
    </cfRule>
  </conditionalFormatting>
  <conditionalFormatting sqref="U5:U36">
    <cfRule type="expression" dxfId="3314" priority="11">
      <formula>COUNTIF(T5,"6")</formula>
    </cfRule>
  </conditionalFormatting>
  <conditionalFormatting sqref="V32">
    <cfRule type="cellIs" dxfId="3313" priority="1" operator="lessThan">
      <formula>0</formula>
    </cfRule>
    <cfRule type="cellIs" dxfId="331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12A6F87-7033-0444-BE0B-0EE33645B364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4736B-AE98-FB49-9528-6AFDCB865BD1}">
  <sheetPr codeName="Tabelle81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36</v>
      </c>
      <c r="Q1" s="176"/>
      <c r="R1" s="79">
        <f>DATE(V1,1,7*P1-3-WEEKDAY(DATE(V1,,),3))</f>
        <v>45537</v>
      </c>
      <c r="S1" s="80" t="s">
        <v>1</v>
      </c>
      <c r="T1" s="177">
        <f>DATE(V1,1,7*P1+3-WEEKDAY(DATE(V1,,),3))</f>
        <v>45543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45537</v>
      </c>
      <c r="B2" s="178"/>
      <c r="C2" s="178"/>
      <c r="D2" s="178">
        <f>A2+1</f>
        <v>45538</v>
      </c>
      <c r="E2" s="179"/>
      <c r="F2" s="179"/>
      <c r="G2" s="178">
        <f>D2+1</f>
        <v>45539</v>
      </c>
      <c r="H2" s="179"/>
      <c r="I2" s="179"/>
      <c r="J2" s="178">
        <f>G2+1</f>
        <v>45540</v>
      </c>
      <c r="K2" s="179"/>
      <c r="L2" s="179"/>
      <c r="M2" s="178">
        <f>J2+1</f>
        <v>45541</v>
      </c>
      <c r="N2" s="179"/>
      <c r="O2" s="179"/>
      <c r="P2" s="178">
        <f>M2+1</f>
        <v>45542</v>
      </c>
      <c r="Q2" s="179"/>
      <c r="R2" s="179"/>
      <c r="S2" s="178">
        <f>P2+1</f>
        <v>45543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45537</v>
      </c>
      <c r="B3" s="168"/>
      <c r="C3" s="168"/>
      <c r="D3" s="168">
        <f>A3+1</f>
        <v>45538</v>
      </c>
      <c r="E3" s="168"/>
      <c r="F3" s="168"/>
      <c r="G3" s="168">
        <f>D3+1</f>
        <v>45539</v>
      </c>
      <c r="H3" s="168"/>
      <c r="I3" s="168"/>
      <c r="J3" s="168">
        <f>G3+1</f>
        <v>45540</v>
      </c>
      <c r="K3" s="168"/>
      <c r="L3" s="168"/>
      <c r="M3" s="168">
        <f>J3+1</f>
        <v>45541</v>
      </c>
      <c r="N3" s="168"/>
      <c r="O3" s="168"/>
      <c r="P3" s="168">
        <f>M3+1</f>
        <v>45542</v>
      </c>
      <c r="Q3" s="168"/>
      <c r="R3" s="168"/>
      <c r="S3" s="168">
        <f>P3+1</f>
        <v>45543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45537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45538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45539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45540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45541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45542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45543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35'!V32</f>
        <v>-1400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-1440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311" priority="159">
      <formula>COUNTIF(B5,"a")</formula>
    </cfRule>
    <cfRule type="expression" dxfId="3310" priority="161">
      <formula>COUNTIF(B5,"9")</formula>
    </cfRule>
    <cfRule type="expression" dxfId="3309" priority="163">
      <formula>COUNTIF(B5,"k")</formula>
    </cfRule>
    <cfRule type="expression" dxfId="3308" priority="164">
      <formula>COUNTIF(B5,"u")</formula>
    </cfRule>
    <cfRule type="expression" dxfId="3307" priority="167">
      <formula>COUNTIF(B5,"f")</formula>
    </cfRule>
    <cfRule type="expression" dxfId="3306" priority="168">
      <formula>COUNTIF(B5,"8")</formula>
    </cfRule>
    <cfRule type="expression" dxfId="3305" priority="169">
      <formula>COUNTIF(B5,"7")</formula>
    </cfRule>
    <cfRule type="expression" dxfId="3304" priority="170">
      <formula>COUNTIF(B5,"3")</formula>
    </cfRule>
    <cfRule type="expression" dxfId="3303" priority="181">
      <formula>COUNTIF(B5,"5")</formula>
    </cfRule>
    <cfRule type="expression" dxfId="3302" priority="182">
      <formula>COUNTIF(B5,"2")</formula>
    </cfRule>
    <cfRule type="expression" dxfId="3301" priority="183">
      <formula>COUNTIF(B5,"4")</formula>
    </cfRule>
    <cfRule type="expression" dxfId="3300" priority="184">
      <formula>COUNTIF(B5,"1")</formula>
    </cfRule>
  </conditionalFormatting>
  <conditionalFormatting sqref="B5:B36">
    <cfRule type="cellIs" dxfId="3299" priority="160" operator="equal">
      <formula>"a"</formula>
    </cfRule>
    <cfRule type="cellIs" dxfId="3298" priority="162" operator="equal">
      <formula>"k"</formula>
    </cfRule>
    <cfRule type="cellIs" dxfId="3297" priority="165" operator="equal">
      <formula>"u"</formula>
    </cfRule>
    <cfRule type="cellIs" dxfId="3296" priority="166" operator="equal">
      <formula>"f"</formula>
    </cfRule>
    <cfRule type="cellIs" dxfId="3295" priority="171" operator="equal">
      <formula>9</formula>
    </cfRule>
    <cfRule type="cellIs" dxfId="3294" priority="172" operator="equal">
      <formula>8</formula>
    </cfRule>
    <cfRule type="cellIs" dxfId="3293" priority="173" operator="equal">
      <formula>5</formula>
    </cfRule>
    <cfRule type="cellIs" dxfId="3292" priority="174" operator="equal">
      <formula>3</formula>
    </cfRule>
    <cfRule type="cellIs" dxfId="3291" priority="176" operator="equal">
      <formula>6</formula>
    </cfRule>
    <cfRule type="cellIs" dxfId="3290" priority="177" operator="equal">
      <formula>4</formula>
    </cfRule>
    <cfRule type="cellIs" dxfId="3289" priority="178" operator="equal">
      <formula>2</formula>
    </cfRule>
    <cfRule type="cellIs" dxfId="3288" priority="179" operator="equal">
      <formula>7</formula>
    </cfRule>
    <cfRule type="cellIs" dxfId="3287" priority="180" operator="equal">
      <formula>1</formula>
    </cfRule>
  </conditionalFormatting>
  <conditionalFormatting sqref="C5:C36">
    <cfRule type="expression" dxfId="3286" priority="175">
      <formula>COUNTIF(B5,"6")</formula>
    </cfRule>
  </conditionalFormatting>
  <conditionalFormatting sqref="E5:E36">
    <cfRule type="cellIs" dxfId="3285" priority="146" operator="equal">
      <formula>"a"</formula>
    </cfRule>
    <cfRule type="cellIs" dxfId="3284" priority="147" operator="equal">
      <formula>"k"</formula>
    </cfRule>
    <cfRule type="cellIs" dxfId="3283" priority="148" operator="equal">
      <formula>"u"</formula>
    </cfRule>
    <cfRule type="cellIs" dxfId="3282" priority="149" operator="equal">
      <formula>"f"</formula>
    </cfRule>
    <cfRule type="cellIs" dxfId="3281" priority="150" operator="equal">
      <formula>9</formula>
    </cfRule>
    <cfRule type="cellIs" dxfId="3280" priority="151" operator="equal">
      <formula>8</formula>
    </cfRule>
    <cfRule type="cellIs" dxfId="3279" priority="152" operator="equal">
      <formula>5</formula>
    </cfRule>
    <cfRule type="cellIs" dxfId="3278" priority="153" operator="equal">
      <formula>3</formula>
    </cfRule>
    <cfRule type="cellIs" dxfId="3277" priority="154" operator="equal">
      <formula>6</formula>
    </cfRule>
    <cfRule type="cellIs" dxfId="3276" priority="155" operator="equal">
      <formula>4</formula>
    </cfRule>
    <cfRule type="cellIs" dxfId="3275" priority="156" operator="equal">
      <formula>2</formula>
    </cfRule>
    <cfRule type="cellIs" dxfId="3274" priority="157" operator="equal">
      <formula>7</formula>
    </cfRule>
    <cfRule type="cellIs" dxfId="3273" priority="158" operator="equal">
      <formula>1</formula>
    </cfRule>
  </conditionalFormatting>
  <conditionalFormatting sqref="H5:H36">
    <cfRule type="cellIs" dxfId="3272" priority="133" operator="equal">
      <formula>"a"</formula>
    </cfRule>
    <cfRule type="cellIs" dxfId="3271" priority="134" operator="equal">
      <formula>"k"</formula>
    </cfRule>
    <cfRule type="cellIs" dxfId="3270" priority="135" operator="equal">
      <formula>"u"</formula>
    </cfRule>
    <cfRule type="cellIs" dxfId="3269" priority="136" operator="equal">
      <formula>"f"</formula>
    </cfRule>
    <cfRule type="cellIs" dxfId="3268" priority="137" operator="equal">
      <formula>9</formula>
    </cfRule>
    <cfRule type="cellIs" dxfId="3267" priority="138" operator="equal">
      <formula>8</formula>
    </cfRule>
    <cfRule type="cellIs" dxfId="3266" priority="139" operator="equal">
      <formula>5</formula>
    </cfRule>
    <cfRule type="cellIs" dxfId="3265" priority="140" operator="equal">
      <formula>3</formula>
    </cfRule>
    <cfRule type="cellIs" dxfId="3264" priority="141" operator="equal">
      <formula>6</formula>
    </cfRule>
    <cfRule type="cellIs" dxfId="3263" priority="142" operator="equal">
      <formula>4</formula>
    </cfRule>
    <cfRule type="cellIs" dxfId="3262" priority="143" operator="equal">
      <formula>2</formula>
    </cfRule>
    <cfRule type="cellIs" dxfId="3261" priority="144" operator="equal">
      <formula>7</formula>
    </cfRule>
    <cfRule type="cellIs" dxfId="3260" priority="145" operator="equal">
      <formula>1</formula>
    </cfRule>
  </conditionalFormatting>
  <conditionalFormatting sqref="K5:K36">
    <cfRule type="cellIs" dxfId="3259" priority="120" operator="equal">
      <formula>"a"</formula>
    </cfRule>
    <cfRule type="cellIs" dxfId="3258" priority="121" operator="equal">
      <formula>"k"</formula>
    </cfRule>
    <cfRule type="cellIs" dxfId="3257" priority="122" operator="equal">
      <formula>"u"</formula>
    </cfRule>
    <cfRule type="cellIs" dxfId="3256" priority="123" operator="equal">
      <formula>"f"</formula>
    </cfRule>
    <cfRule type="cellIs" dxfId="3255" priority="124" operator="equal">
      <formula>9</formula>
    </cfRule>
    <cfRule type="cellIs" dxfId="3254" priority="125" operator="equal">
      <formula>8</formula>
    </cfRule>
    <cfRule type="cellIs" dxfId="3253" priority="126" operator="equal">
      <formula>5</formula>
    </cfRule>
    <cfRule type="cellIs" dxfId="3252" priority="127" operator="equal">
      <formula>3</formula>
    </cfRule>
    <cfRule type="cellIs" dxfId="3251" priority="128" operator="equal">
      <formula>6</formula>
    </cfRule>
    <cfRule type="cellIs" dxfId="3250" priority="129" operator="equal">
      <formula>4</formula>
    </cfRule>
    <cfRule type="cellIs" dxfId="3249" priority="130" operator="equal">
      <formula>2</formula>
    </cfRule>
    <cfRule type="cellIs" dxfId="3248" priority="131" operator="equal">
      <formula>7</formula>
    </cfRule>
    <cfRule type="cellIs" dxfId="3247" priority="132" operator="equal">
      <formula>1</formula>
    </cfRule>
  </conditionalFormatting>
  <conditionalFormatting sqref="N5:N36">
    <cfRule type="cellIs" dxfId="3246" priority="107" operator="equal">
      <formula>"a"</formula>
    </cfRule>
    <cfRule type="cellIs" dxfId="3245" priority="108" operator="equal">
      <formula>"k"</formula>
    </cfRule>
    <cfRule type="cellIs" dxfId="3244" priority="109" operator="equal">
      <formula>"u"</formula>
    </cfRule>
    <cfRule type="cellIs" dxfId="3243" priority="110" operator="equal">
      <formula>"f"</formula>
    </cfRule>
    <cfRule type="cellIs" dxfId="3242" priority="111" operator="equal">
      <formula>9</formula>
    </cfRule>
    <cfRule type="cellIs" dxfId="3241" priority="112" operator="equal">
      <formula>8</formula>
    </cfRule>
    <cfRule type="cellIs" dxfId="3240" priority="113" operator="equal">
      <formula>5</formula>
    </cfRule>
    <cfRule type="cellIs" dxfId="3239" priority="114" operator="equal">
      <formula>3</formula>
    </cfRule>
    <cfRule type="cellIs" dxfId="3238" priority="115" operator="equal">
      <formula>6</formula>
    </cfRule>
    <cfRule type="cellIs" dxfId="3237" priority="116" operator="equal">
      <formula>4</formula>
    </cfRule>
    <cfRule type="cellIs" dxfId="3236" priority="117" operator="equal">
      <formula>2</formula>
    </cfRule>
    <cfRule type="cellIs" dxfId="3235" priority="118" operator="equal">
      <formula>7</formula>
    </cfRule>
    <cfRule type="cellIs" dxfId="3234" priority="119" operator="equal">
      <formula>1</formula>
    </cfRule>
  </conditionalFormatting>
  <conditionalFormatting sqref="Q5:Q36">
    <cfRule type="cellIs" dxfId="3233" priority="94" operator="equal">
      <formula>"a"</formula>
    </cfRule>
    <cfRule type="cellIs" dxfId="3232" priority="95" operator="equal">
      <formula>"k"</formula>
    </cfRule>
    <cfRule type="cellIs" dxfId="3231" priority="96" operator="equal">
      <formula>"u"</formula>
    </cfRule>
    <cfRule type="cellIs" dxfId="3230" priority="97" operator="equal">
      <formula>"f"</formula>
    </cfRule>
    <cfRule type="cellIs" dxfId="3229" priority="98" operator="equal">
      <formula>9</formula>
    </cfRule>
    <cfRule type="cellIs" dxfId="3228" priority="99" operator="equal">
      <formula>8</formula>
    </cfRule>
    <cfRule type="cellIs" dxfId="3227" priority="100" operator="equal">
      <formula>5</formula>
    </cfRule>
    <cfRule type="cellIs" dxfId="3226" priority="101" operator="equal">
      <formula>3</formula>
    </cfRule>
    <cfRule type="cellIs" dxfId="3225" priority="102" operator="equal">
      <formula>6</formula>
    </cfRule>
    <cfRule type="cellIs" dxfId="3224" priority="103" operator="equal">
      <formula>4</formula>
    </cfRule>
    <cfRule type="cellIs" dxfId="3223" priority="104" operator="equal">
      <formula>2</formula>
    </cfRule>
    <cfRule type="cellIs" dxfId="3222" priority="105" operator="equal">
      <formula>7</formula>
    </cfRule>
    <cfRule type="cellIs" dxfId="3221" priority="106" operator="equal">
      <formula>1</formula>
    </cfRule>
  </conditionalFormatting>
  <conditionalFormatting sqref="T5:T36">
    <cfRule type="cellIs" dxfId="3220" priority="81" operator="equal">
      <formula>"a"</formula>
    </cfRule>
    <cfRule type="cellIs" dxfId="3219" priority="82" operator="equal">
      <formula>"k"</formula>
    </cfRule>
    <cfRule type="cellIs" dxfId="3218" priority="83" operator="equal">
      <formula>"u"</formula>
    </cfRule>
    <cfRule type="cellIs" dxfId="3217" priority="84" operator="equal">
      <formula>"f"</formula>
    </cfRule>
    <cfRule type="cellIs" dxfId="3216" priority="85" operator="equal">
      <formula>9</formula>
    </cfRule>
    <cfRule type="cellIs" dxfId="3215" priority="86" operator="equal">
      <formula>8</formula>
    </cfRule>
    <cfRule type="cellIs" dxfId="3214" priority="87" operator="equal">
      <formula>5</formula>
    </cfRule>
    <cfRule type="cellIs" dxfId="3213" priority="88" operator="equal">
      <formula>3</formula>
    </cfRule>
    <cfRule type="cellIs" dxfId="3212" priority="89" operator="equal">
      <formula>6</formula>
    </cfRule>
    <cfRule type="cellIs" dxfId="3211" priority="90" operator="equal">
      <formula>4</formula>
    </cfRule>
    <cfRule type="cellIs" dxfId="3210" priority="91" operator="equal">
      <formula>2</formula>
    </cfRule>
    <cfRule type="cellIs" dxfId="3209" priority="92" operator="equal">
      <formula>7</formula>
    </cfRule>
    <cfRule type="cellIs" dxfId="3208" priority="93" operator="equal">
      <formula>1</formula>
    </cfRule>
  </conditionalFormatting>
  <conditionalFormatting sqref="F5:F36">
    <cfRule type="expression" dxfId="3207" priority="68">
      <formula>COUNTIF(E5,"a")</formula>
    </cfRule>
    <cfRule type="expression" dxfId="3206" priority="69">
      <formula>COUNTIF(E5,"9")</formula>
    </cfRule>
    <cfRule type="expression" dxfId="3205" priority="70">
      <formula>COUNTIF(E5,"k")</formula>
    </cfRule>
    <cfRule type="expression" dxfId="3204" priority="71">
      <formula>COUNTIF(E5,"u")</formula>
    </cfRule>
    <cfRule type="expression" dxfId="3203" priority="72">
      <formula>COUNTIF(E5,"f")</formula>
    </cfRule>
    <cfRule type="expression" dxfId="3202" priority="73">
      <formula>COUNTIF(E5,"8")</formula>
    </cfRule>
    <cfRule type="expression" dxfId="3201" priority="74">
      <formula>COUNTIF(E5,"7")</formula>
    </cfRule>
    <cfRule type="expression" dxfId="3200" priority="75">
      <formula>COUNTIF(E5,"3")</formula>
    </cfRule>
    <cfRule type="expression" dxfId="3199" priority="77">
      <formula>COUNTIF(E5,"5")</formula>
    </cfRule>
    <cfRule type="expression" dxfId="3198" priority="78">
      <formula>COUNTIF(E5,"2")</formula>
    </cfRule>
    <cfRule type="expression" dxfId="3197" priority="79">
      <formula>COUNTIF(E5,"4")</formula>
    </cfRule>
    <cfRule type="expression" dxfId="3196" priority="80">
      <formula>COUNTIF(E5,"1")</formula>
    </cfRule>
  </conditionalFormatting>
  <conditionalFormatting sqref="F5:F36">
    <cfRule type="expression" dxfId="3195" priority="76">
      <formula>COUNTIF(E5,"6")</formula>
    </cfRule>
  </conditionalFormatting>
  <conditionalFormatting sqref="I5:I36">
    <cfRule type="expression" dxfId="3194" priority="55">
      <formula>COUNTIF(H5,"a")</formula>
    </cfRule>
    <cfRule type="expression" dxfId="3193" priority="56">
      <formula>COUNTIF(H5,"9")</formula>
    </cfRule>
    <cfRule type="expression" dxfId="3192" priority="57">
      <formula>COUNTIF(H5,"k")</formula>
    </cfRule>
    <cfRule type="expression" dxfId="3191" priority="58">
      <formula>COUNTIF(H5,"u")</formula>
    </cfRule>
    <cfRule type="expression" dxfId="3190" priority="59">
      <formula>COUNTIF(H5,"f")</formula>
    </cfRule>
    <cfRule type="expression" dxfId="3189" priority="60">
      <formula>COUNTIF(H5,"8")</formula>
    </cfRule>
    <cfRule type="expression" dxfId="3188" priority="61">
      <formula>COUNTIF(H5,"7")</formula>
    </cfRule>
    <cfRule type="expression" dxfId="3187" priority="62">
      <formula>COUNTIF(H5,"3")</formula>
    </cfRule>
    <cfRule type="expression" dxfId="3186" priority="64">
      <formula>COUNTIF(H5,"5")</formula>
    </cfRule>
    <cfRule type="expression" dxfId="3185" priority="65">
      <formula>COUNTIF(H5,"2")</formula>
    </cfRule>
    <cfRule type="expression" dxfId="3184" priority="66">
      <formula>COUNTIF(H5,"4")</formula>
    </cfRule>
    <cfRule type="expression" dxfId="3183" priority="67">
      <formula>COUNTIF(H5,"1")</formula>
    </cfRule>
  </conditionalFormatting>
  <conditionalFormatting sqref="I5:I36">
    <cfRule type="expression" dxfId="3182" priority="63">
      <formula>COUNTIF(H5,"6")</formula>
    </cfRule>
  </conditionalFormatting>
  <conditionalFormatting sqref="L5:L36">
    <cfRule type="expression" dxfId="3181" priority="42">
      <formula>COUNTIF(K5,"a")</formula>
    </cfRule>
    <cfRule type="expression" dxfId="3180" priority="43">
      <formula>COUNTIF(K5,"9")</formula>
    </cfRule>
    <cfRule type="expression" dxfId="3179" priority="44">
      <formula>COUNTIF(K5,"k")</formula>
    </cfRule>
    <cfRule type="expression" dxfId="3178" priority="45">
      <formula>COUNTIF(K5,"u")</formula>
    </cfRule>
    <cfRule type="expression" dxfId="3177" priority="46">
      <formula>COUNTIF(K5,"f")</formula>
    </cfRule>
    <cfRule type="expression" dxfId="3176" priority="47">
      <formula>COUNTIF(K5,"8")</formula>
    </cfRule>
    <cfRule type="expression" dxfId="3175" priority="48">
      <formula>COUNTIF(K5,"7")</formula>
    </cfRule>
    <cfRule type="expression" dxfId="3174" priority="49">
      <formula>COUNTIF(K5,"3")</formula>
    </cfRule>
    <cfRule type="expression" dxfId="3173" priority="51">
      <formula>COUNTIF(K5,"5")</formula>
    </cfRule>
    <cfRule type="expression" dxfId="3172" priority="52">
      <formula>COUNTIF(K5,"2")</formula>
    </cfRule>
    <cfRule type="expression" dxfId="3171" priority="53">
      <formula>COUNTIF(K5,"4")</formula>
    </cfRule>
    <cfRule type="expression" dxfId="3170" priority="54">
      <formula>COUNTIF(K5,"1")</formula>
    </cfRule>
  </conditionalFormatting>
  <conditionalFormatting sqref="L5:L36">
    <cfRule type="expression" dxfId="3169" priority="50">
      <formula>COUNTIF(K5,"6")</formula>
    </cfRule>
  </conditionalFormatting>
  <conditionalFormatting sqref="O5:O36">
    <cfRule type="expression" dxfId="3168" priority="29">
      <formula>COUNTIF(N5,"a")</formula>
    </cfRule>
    <cfRule type="expression" dxfId="3167" priority="30">
      <formula>COUNTIF(N5,"9")</formula>
    </cfRule>
    <cfRule type="expression" dxfId="3166" priority="31">
      <formula>COUNTIF(N5,"k")</formula>
    </cfRule>
    <cfRule type="expression" dxfId="3165" priority="32">
      <formula>COUNTIF(N5,"u")</formula>
    </cfRule>
    <cfRule type="expression" dxfId="3164" priority="33">
      <formula>COUNTIF(N5,"f")</formula>
    </cfRule>
    <cfRule type="expression" dxfId="3163" priority="34">
      <formula>COUNTIF(N5,"8")</formula>
    </cfRule>
    <cfRule type="expression" dxfId="3162" priority="35">
      <formula>COUNTIF(N5,"7")</formula>
    </cfRule>
    <cfRule type="expression" dxfId="3161" priority="36">
      <formula>COUNTIF(N5,"3")</formula>
    </cfRule>
    <cfRule type="expression" dxfId="3160" priority="38">
      <formula>COUNTIF(N5,"5")</formula>
    </cfRule>
    <cfRule type="expression" dxfId="3159" priority="39">
      <formula>COUNTIF(N5,"2")</formula>
    </cfRule>
    <cfRule type="expression" dxfId="3158" priority="40">
      <formula>COUNTIF(N5,"4")</formula>
    </cfRule>
    <cfRule type="expression" dxfId="3157" priority="41">
      <formula>COUNTIF(N5,"1")</formula>
    </cfRule>
  </conditionalFormatting>
  <conditionalFormatting sqref="O5:O36">
    <cfRule type="expression" dxfId="3156" priority="37">
      <formula>COUNTIF(N5,"6")</formula>
    </cfRule>
  </conditionalFormatting>
  <conditionalFormatting sqref="R5:R36">
    <cfRule type="expression" dxfId="3155" priority="16">
      <formula>COUNTIF(Q5,"a")</formula>
    </cfRule>
    <cfRule type="expression" dxfId="3154" priority="17">
      <formula>COUNTIF(Q5,"9")</formula>
    </cfRule>
    <cfRule type="expression" dxfId="3153" priority="18">
      <formula>COUNTIF(Q5,"k")</formula>
    </cfRule>
    <cfRule type="expression" dxfId="3152" priority="19">
      <formula>COUNTIF(Q5,"u")</formula>
    </cfRule>
    <cfRule type="expression" dxfId="3151" priority="20">
      <formula>COUNTIF(Q5,"f")</formula>
    </cfRule>
    <cfRule type="expression" dxfId="3150" priority="21">
      <formula>COUNTIF(Q5,"8")</formula>
    </cfRule>
    <cfRule type="expression" dxfId="3149" priority="22">
      <formula>COUNTIF(Q5,"7")</formula>
    </cfRule>
    <cfRule type="expression" dxfId="3148" priority="23">
      <formula>COUNTIF(Q5,"3")</formula>
    </cfRule>
    <cfRule type="expression" dxfId="3147" priority="25">
      <formula>COUNTIF(Q5,"5")</formula>
    </cfRule>
    <cfRule type="expression" dxfId="3146" priority="26">
      <formula>COUNTIF(Q5,"2")</formula>
    </cfRule>
    <cfRule type="expression" dxfId="3145" priority="27">
      <formula>COUNTIF(Q5,"4")</formula>
    </cfRule>
    <cfRule type="expression" dxfId="3144" priority="28">
      <formula>COUNTIF(Q5,"1")</formula>
    </cfRule>
  </conditionalFormatting>
  <conditionalFormatting sqref="R5:R36">
    <cfRule type="expression" dxfId="3143" priority="24">
      <formula>COUNTIF(Q5,"6")</formula>
    </cfRule>
  </conditionalFormatting>
  <conditionalFormatting sqref="U5:U36">
    <cfRule type="expression" dxfId="3142" priority="3">
      <formula>COUNTIF(T5,"a")</formula>
    </cfRule>
    <cfRule type="expression" dxfId="3141" priority="4">
      <formula>COUNTIF(T5,"9")</formula>
    </cfRule>
    <cfRule type="expression" dxfId="3140" priority="5">
      <formula>COUNTIF(T5,"k")</formula>
    </cfRule>
    <cfRule type="expression" dxfId="3139" priority="6">
      <formula>COUNTIF(T5,"u")</formula>
    </cfRule>
    <cfRule type="expression" dxfId="3138" priority="7">
      <formula>COUNTIF(T5,"f")</formula>
    </cfRule>
    <cfRule type="expression" dxfId="3137" priority="8">
      <formula>COUNTIF(T5,"8")</formula>
    </cfRule>
    <cfRule type="expression" dxfId="3136" priority="9">
      <formula>COUNTIF(T5,"7")</formula>
    </cfRule>
    <cfRule type="expression" dxfId="3135" priority="10">
      <formula>COUNTIF(T5,"3")</formula>
    </cfRule>
    <cfRule type="expression" dxfId="3134" priority="12">
      <formula>COUNTIF(T5,"5")</formula>
    </cfRule>
    <cfRule type="expression" dxfId="3133" priority="13">
      <formula>COUNTIF(T5,"2")</formula>
    </cfRule>
    <cfRule type="expression" dxfId="3132" priority="14">
      <formula>COUNTIF(T5,"4")</formula>
    </cfRule>
    <cfRule type="expression" dxfId="3131" priority="15">
      <formula>COUNTIF(T5,"1")</formula>
    </cfRule>
  </conditionalFormatting>
  <conditionalFormatting sqref="U5:U36">
    <cfRule type="expression" dxfId="3130" priority="11">
      <formula>COUNTIF(T5,"6")</formula>
    </cfRule>
  </conditionalFormatting>
  <conditionalFormatting sqref="V32">
    <cfRule type="cellIs" dxfId="3129" priority="1" operator="lessThan">
      <formula>0</formula>
    </cfRule>
    <cfRule type="cellIs" dxfId="312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6C62AABC-0B6C-DC46-A967-E280F166F55F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BBB8-28DF-D243-9692-2ACD6E36816A}">
  <sheetPr codeName="Tabelle82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37</v>
      </c>
      <c r="Q1" s="176"/>
      <c r="R1" s="79">
        <f>DATE(V1,1,7*P1-3-WEEKDAY(DATE(V1,,),3))</f>
        <v>45544</v>
      </c>
      <c r="S1" s="80" t="s">
        <v>1</v>
      </c>
      <c r="T1" s="177">
        <f>DATE(V1,1,7*P1+3-WEEKDAY(DATE(V1,,),3))</f>
        <v>45550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45544</v>
      </c>
      <c r="B2" s="178"/>
      <c r="C2" s="178"/>
      <c r="D2" s="178">
        <f>A2+1</f>
        <v>45545</v>
      </c>
      <c r="E2" s="179"/>
      <c r="F2" s="179"/>
      <c r="G2" s="178">
        <f>D2+1</f>
        <v>45546</v>
      </c>
      <c r="H2" s="179"/>
      <c r="I2" s="179"/>
      <c r="J2" s="178">
        <f>G2+1</f>
        <v>45547</v>
      </c>
      <c r="K2" s="179"/>
      <c r="L2" s="179"/>
      <c r="M2" s="178">
        <f>J2+1</f>
        <v>45548</v>
      </c>
      <c r="N2" s="179"/>
      <c r="O2" s="179"/>
      <c r="P2" s="178">
        <f>M2+1</f>
        <v>45549</v>
      </c>
      <c r="Q2" s="179"/>
      <c r="R2" s="179"/>
      <c r="S2" s="178">
        <f>P2+1</f>
        <v>45550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45544</v>
      </c>
      <c r="B3" s="168"/>
      <c r="C3" s="168"/>
      <c r="D3" s="168">
        <f>A3+1</f>
        <v>45545</v>
      </c>
      <c r="E3" s="168"/>
      <c r="F3" s="168"/>
      <c r="G3" s="168">
        <f>D3+1</f>
        <v>45546</v>
      </c>
      <c r="H3" s="168"/>
      <c r="I3" s="168"/>
      <c r="J3" s="168">
        <f>G3+1</f>
        <v>45547</v>
      </c>
      <c r="K3" s="168"/>
      <c r="L3" s="168"/>
      <c r="M3" s="168">
        <f>J3+1</f>
        <v>45548</v>
      </c>
      <c r="N3" s="168"/>
      <c r="O3" s="168"/>
      <c r="P3" s="168">
        <f>M3+1</f>
        <v>45549</v>
      </c>
      <c r="Q3" s="168"/>
      <c r="R3" s="168"/>
      <c r="S3" s="168">
        <f>P3+1</f>
        <v>45550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45544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45545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45546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45547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45548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45549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45550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36'!V32</f>
        <v>-1440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-1480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127" priority="159">
      <formula>COUNTIF(B5,"a")</formula>
    </cfRule>
    <cfRule type="expression" dxfId="3126" priority="161">
      <formula>COUNTIF(B5,"9")</formula>
    </cfRule>
    <cfRule type="expression" dxfId="3125" priority="163">
      <formula>COUNTIF(B5,"k")</formula>
    </cfRule>
    <cfRule type="expression" dxfId="3124" priority="164">
      <formula>COUNTIF(B5,"u")</formula>
    </cfRule>
    <cfRule type="expression" dxfId="3123" priority="167">
      <formula>COUNTIF(B5,"f")</formula>
    </cfRule>
    <cfRule type="expression" dxfId="3122" priority="168">
      <formula>COUNTIF(B5,"8")</formula>
    </cfRule>
    <cfRule type="expression" dxfId="3121" priority="169">
      <formula>COUNTIF(B5,"7")</formula>
    </cfRule>
    <cfRule type="expression" dxfId="3120" priority="170">
      <formula>COUNTIF(B5,"3")</formula>
    </cfRule>
    <cfRule type="expression" dxfId="3119" priority="181">
      <formula>COUNTIF(B5,"5")</formula>
    </cfRule>
    <cfRule type="expression" dxfId="3118" priority="182">
      <formula>COUNTIF(B5,"2")</formula>
    </cfRule>
    <cfRule type="expression" dxfId="3117" priority="183">
      <formula>COUNTIF(B5,"4")</formula>
    </cfRule>
    <cfRule type="expression" dxfId="3116" priority="184">
      <formula>COUNTIF(B5,"1")</formula>
    </cfRule>
  </conditionalFormatting>
  <conditionalFormatting sqref="B5:B36">
    <cfRule type="cellIs" dxfId="3115" priority="160" operator="equal">
      <formula>"a"</formula>
    </cfRule>
    <cfRule type="cellIs" dxfId="3114" priority="162" operator="equal">
      <formula>"k"</formula>
    </cfRule>
    <cfRule type="cellIs" dxfId="3113" priority="165" operator="equal">
      <formula>"u"</formula>
    </cfRule>
    <cfRule type="cellIs" dxfId="3112" priority="166" operator="equal">
      <formula>"f"</formula>
    </cfRule>
    <cfRule type="cellIs" dxfId="3111" priority="171" operator="equal">
      <formula>9</formula>
    </cfRule>
    <cfRule type="cellIs" dxfId="3110" priority="172" operator="equal">
      <formula>8</formula>
    </cfRule>
    <cfRule type="cellIs" dxfId="3109" priority="173" operator="equal">
      <formula>5</formula>
    </cfRule>
    <cfRule type="cellIs" dxfId="3108" priority="174" operator="equal">
      <formula>3</formula>
    </cfRule>
    <cfRule type="cellIs" dxfId="3107" priority="176" operator="equal">
      <formula>6</formula>
    </cfRule>
    <cfRule type="cellIs" dxfId="3106" priority="177" operator="equal">
      <formula>4</formula>
    </cfRule>
    <cfRule type="cellIs" dxfId="3105" priority="178" operator="equal">
      <formula>2</formula>
    </cfRule>
    <cfRule type="cellIs" dxfId="3104" priority="179" operator="equal">
      <formula>7</formula>
    </cfRule>
    <cfRule type="cellIs" dxfId="3103" priority="180" operator="equal">
      <formula>1</formula>
    </cfRule>
  </conditionalFormatting>
  <conditionalFormatting sqref="C5:C36">
    <cfRule type="expression" dxfId="3102" priority="175">
      <formula>COUNTIF(B5,"6")</formula>
    </cfRule>
  </conditionalFormatting>
  <conditionalFormatting sqref="E5:E36">
    <cfRule type="cellIs" dxfId="3101" priority="146" operator="equal">
      <formula>"a"</formula>
    </cfRule>
    <cfRule type="cellIs" dxfId="3100" priority="147" operator="equal">
      <formula>"k"</formula>
    </cfRule>
    <cfRule type="cellIs" dxfId="3099" priority="148" operator="equal">
      <formula>"u"</formula>
    </cfRule>
    <cfRule type="cellIs" dxfId="3098" priority="149" operator="equal">
      <formula>"f"</formula>
    </cfRule>
    <cfRule type="cellIs" dxfId="3097" priority="150" operator="equal">
      <formula>9</formula>
    </cfRule>
    <cfRule type="cellIs" dxfId="3096" priority="151" operator="equal">
      <formula>8</formula>
    </cfRule>
    <cfRule type="cellIs" dxfId="3095" priority="152" operator="equal">
      <formula>5</formula>
    </cfRule>
    <cfRule type="cellIs" dxfId="3094" priority="153" operator="equal">
      <formula>3</formula>
    </cfRule>
    <cfRule type="cellIs" dxfId="3093" priority="154" operator="equal">
      <formula>6</formula>
    </cfRule>
    <cfRule type="cellIs" dxfId="3092" priority="155" operator="equal">
      <formula>4</formula>
    </cfRule>
    <cfRule type="cellIs" dxfId="3091" priority="156" operator="equal">
      <formula>2</formula>
    </cfRule>
    <cfRule type="cellIs" dxfId="3090" priority="157" operator="equal">
      <formula>7</formula>
    </cfRule>
    <cfRule type="cellIs" dxfId="3089" priority="158" operator="equal">
      <formula>1</formula>
    </cfRule>
  </conditionalFormatting>
  <conditionalFormatting sqref="H5:H36">
    <cfRule type="cellIs" dxfId="3088" priority="133" operator="equal">
      <formula>"a"</formula>
    </cfRule>
    <cfRule type="cellIs" dxfId="3087" priority="134" operator="equal">
      <formula>"k"</formula>
    </cfRule>
    <cfRule type="cellIs" dxfId="3086" priority="135" operator="equal">
      <formula>"u"</formula>
    </cfRule>
    <cfRule type="cellIs" dxfId="3085" priority="136" operator="equal">
      <formula>"f"</formula>
    </cfRule>
    <cfRule type="cellIs" dxfId="3084" priority="137" operator="equal">
      <formula>9</formula>
    </cfRule>
    <cfRule type="cellIs" dxfId="3083" priority="138" operator="equal">
      <formula>8</formula>
    </cfRule>
    <cfRule type="cellIs" dxfId="3082" priority="139" operator="equal">
      <formula>5</formula>
    </cfRule>
    <cfRule type="cellIs" dxfId="3081" priority="140" operator="equal">
      <formula>3</formula>
    </cfRule>
    <cfRule type="cellIs" dxfId="3080" priority="141" operator="equal">
      <formula>6</formula>
    </cfRule>
    <cfRule type="cellIs" dxfId="3079" priority="142" operator="equal">
      <formula>4</formula>
    </cfRule>
    <cfRule type="cellIs" dxfId="3078" priority="143" operator="equal">
      <formula>2</formula>
    </cfRule>
    <cfRule type="cellIs" dxfId="3077" priority="144" operator="equal">
      <formula>7</formula>
    </cfRule>
    <cfRule type="cellIs" dxfId="3076" priority="145" operator="equal">
      <formula>1</formula>
    </cfRule>
  </conditionalFormatting>
  <conditionalFormatting sqref="K5:K36">
    <cfRule type="cellIs" dxfId="3075" priority="120" operator="equal">
      <formula>"a"</formula>
    </cfRule>
    <cfRule type="cellIs" dxfId="3074" priority="121" operator="equal">
      <formula>"k"</formula>
    </cfRule>
    <cfRule type="cellIs" dxfId="3073" priority="122" operator="equal">
      <formula>"u"</formula>
    </cfRule>
    <cfRule type="cellIs" dxfId="3072" priority="123" operator="equal">
      <formula>"f"</formula>
    </cfRule>
    <cfRule type="cellIs" dxfId="3071" priority="124" operator="equal">
      <formula>9</formula>
    </cfRule>
    <cfRule type="cellIs" dxfId="3070" priority="125" operator="equal">
      <formula>8</formula>
    </cfRule>
    <cfRule type="cellIs" dxfId="3069" priority="126" operator="equal">
      <formula>5</formula>
    </cfRule>
    <cfRule type="cellIs" dxfId="3068" priority="127" operator="equal">
      <formula>3</formula>
    </cfRule>
    <cfRule type="cellIs" dxfId="3067" priority="128" operator="equal">
      <formula>6</formula>
    </cfRule>
    <cfRule type="cellIs" dxfId="3066" priority="129" operator="equal">
      <formula>4</formula>
    </cfRule>
    <cfRule type="cellIs" dxfId="3065" priority="130" operator="equal">
      <formula>2</formula>
    </cfRule>
    <cfRule type="cellIs" dxfId="3064" priority="131" operator="equal">
      <formula>7</formula>
    </cfRule>
    <cfRule type="cellIs" dxfId="3063" priority="132" operator="equal">
      <formula>1</formula>
    </cfRule>
  </conditionalFormatting>
  <conditionalFormatting sqref="N5:N36">
    <cfRule type="cellIs" dxfId="3062" priority="107" operator="equal">
      <formula>"a"</formula>
    </cfRule>
    <cfRule type="cellIs" dxfId="3061" priority="108" operator="equal">
      <formula>"k"</formula>
    </cfRule>
    <cfRule type="cellIs" dxfId="3060" priority="109" operator="equal">
      <formula>"u"</formula>
    </cfRule>
    <cfRule type="cellIs" dxfId="3059" priority="110" operator="equal">
      <formula>"f"</formula>
    </cfRule>
    <cfRule type="cellIs" dxfId="3058" priority="111" operator="equal">
      <formula>9</formula>
    </cfRule>
    <cfRule type="cellIs" dxfId="3057" priority="112" operator="equal">
      <formula>8</formula>
    </cfRule>
    <cfRule type="cellIs" dxfId="3056" priority="113" operator="equal">
      <formula>5</formula>
    </cfRule>
    <cfRule type="cellIs" dxfId="3055" priority="114" operator="equal">
      <formula>3</formula>
    </cfRule>
    <cfRule type="cellIs" dxfId="3054" priority="115" operator="equal">
      <formula>6</formula>
    </cfRule>
    <cfRule type="cellIs" dxfId="3053" priority="116" operator="equal">
      <formula>4</formula>
    </cfRule>
    <cfRule type="cellIs" dxfId="3052" priority="117" operator="equal">
      <formula>2</formula>
    </cfRule>
    <cfRule type="cellIs" dxfId="3051" priority="118" operator="equal">
      <formula>7</formula>
    </cfRule>
    <cfRule type="cellIs" dxfId="3050" priority="119" operator="equal">
      <formula>1</formula>
    </cfRule>
  </conditionalFormatting>
  <conditionalFormatting sqref="Q5:Q36">
    <cfRule type="cellIs" dxfId="3049" priority="94" operator="equal">
      <formula>"a"</formula>
    </cfRule>
    <cfRule type="cellIs" dxfId="3048" priority="95" operator="equal">
      <formula>"k"</formula>
    </cfRule>
    <cfRule type="cellIs" dxfId="3047" priority="96" operator="equal">
      <formula>"u"</formula>
    </cfRule>
    <cfRule type="cellIs" dxfId="3046" priority="97" operator="equal">
      <formula>"f"</formula>
    </cfRule>
    <cfRule type="cellIs" dxfId="3045" priority="98" operator="equal">
      <formula>9</formula>
    </cfRule>
    <cfRule type="cellIs" dxfId="3044" priority="99" operator="equal">
      <formula>8</formula>
    </cfRule>
    <cfRule type="cellIs" dxfId="3043" priority="100" operator="equal">
      <formula>5</formula>
    </cfRule>
    <cfRule type="cellIs" dxfId="3042" priority="101" operator="equal">
      <formula>3</formula>
    </cfRule>
    <cfRule type="cellIs" dxfId="3041" priority="102" operator="equal">
      <formula>6</formula>
    </cfRule>
    <cfRule type="cellIs" dxfId="3040" priority="103" operator="equal">
      <formula>4</formula>
    </cfRule>
    <cfRule type="cellIs" dxfId="3039" priority="104" operator="equal">
      <formula>2</formula>
    </cfRule>
    <cfRule type="cellIs" dxfId="3038" priority="105" operator="equal">
      <formula>7</formula>
    </cfRule>
    <cfRule type="cellIs" dxfId="3037" priority="106" operator="equal">
      <formula>1</formula>
    </cfRule>
  </conditionalFormatting>
  <conditionalFormatting sqref="T5:T36">
    <cfRule type="cellIs" dxfId="3036" priority="81" operator="equal">
      <formula>"a"</formula>
    </cfRule>
    <cfRule type="cellIs" dxfId="3035" priority="82" operator="equal">
      <formula>"k"</formula>
    </cfRule>
    <cfRule type="cellIs" dxfId="3034" priority="83" operator="equal">
      <formula>"u"</formula>
    </cfRule>
    <cfRule type="cellIs" dxfId="3033" priority="84" operator="equal">
      <formula>"f"</formula>
    </cfRule>
    <cfRule type="cellIs" dxfId="3032" priority="85" operator="equal">
      <formula>9</formula>
    </cfRule>
    <cfRule type="cellIs" dxfId="3031" priority="86" operator="equal">
      <formula>8</formula>
    </cfRule>
    <cfRule type="cellIs" dxfId="3030" priority="87" operator="equal">
      <formula>5</formula>
    </cfRule>
    <cfRule type="cellIs" dxfId="3029" priority="88" operator="equal">
      <formula>3</formula>
    </cfRule>
    <cfRule type="cellIs" dxfId="3028" priority="89" operator="equal">
      <formula>6</formula>
    </cfRule>
    <cfRule type="cellIs" dxfId="3027" priority="90" operator="equal">
      <formula>4</formula>
    </cfRule>
    <cfRule type="cellIs" dxfId="3026" priority="91" operator="equal">
      <formula>2</formula>
    </cfRule>
    <cfRule type="cellIs" dxfId="3025" priority="92" operator="equal">
      <formula>7</formula>
    </cfRule>
    <cfRule type="cellIs" dxfId="3024" priority="93" operator="equal">
      <formula>1</formula>
    </cfRule>
  </conditionalFormatting>
  <conditionalFormatting sqref="F5:F36">
    <cfRule type="expression" dxfId="3023" priority="68">
      <formula>COUNTIF(E5,"a")</formula>
    </cfRule>
    <cfRule type="expression" dxfId="3022" priority="69">
      <formula>COUNTIF(E5,"9")</formula>
    </cfRule>
    <cfRule type="expression" dxfId="3021" priority="70">
      <formula>COUNTIF(E5,"k")</formula>
    </cfRule>
    <cfRule type="expression" dxfId="3020" priority="71">
      <formula>COUNTIF(E5,"u")</formula>
    </cfRule>
    <cfRule type="expression" dxfId="3019" priority="72">
      <formula>COUNTIF(E5,"f")</formula>
    </cfRule>
    <cfRule type="expression" dxfId="3018" priority="73">
      <formula>COUNTIF(E5,"8")</formula>
    </cfRule>
    <cfRule type="expression" dxfId="3017" priority="74">
      <formula>COUNTIF(E5,"7")</formula>
    </cfRule>
    <cfRule type="expression" dxfId="3016" priority="75">
      <formula>COUNTIF(E5,"3")</formula>
    </cfRule>
    <cfRule type="expression" dxfId="3015" priority="77">
      <formula>COUNTIF(E5,"5")</formula>
    </cfRule>
    <cfRule type="expression" dxfId="3014" priority="78">
      <formula>COUNTIF(E5,"2")</formula>
    </cfRule>
    <cfRule type="expression" dxfId="3013" priority="79">
      <formula>COUNTIF(E5,"4")</formula>
    </cfRule>
    <cfRule type="expression" dxfId="3012" priority="80">
      <formula>COUNTIF(E5,"1")</formula>
    </cfRule>
  </conditionalFormatting>
  <conditionalFormatting sqref="F5:F36">
    <cfRule type="expression" dxfId="3011" priority="76">
      <formula>COUNTIF(E5,"6")</formula>
    </cfRule>
  </conditionalFormatting>
  <conditionalFormatting sqref="I5:I36">
    <cfRule type="expression" dxfId="3010" priority="55">
      <formula>COUNTIF(H5,"a")</formula>
    </cfRule>
    <cfRule type="expression" dxfId="3009" priority="56">
      <formula>COUNTIF(H5,"9")</formula>
    </cfRule>
    <cfRule type="expression" dxfId="3008" priority="57">
      <formula>COUNTIF(H5,"k")</formula>
    </cfRule>
    <cfRule type="expression" dxfId="3007" priority="58">
      <formula>COUNTIF(H5,"u")</formula>
    </cfRule>
    <cfRule type="expression" dxfId="3006" priority="59">
      <formula>COUNTIF(H5,"f")</formula>
    </cfRule>
    <cfRule type="expression" dxfId="3005" priority="60">
      <formula>COUNTIF(H5,"8")</formula>
    </cfRule>
    <cfRule type="expression" dxfId="3004" priority="61">
      <formula>COUNTIF(H5,"7")</formula>
    </cfRule>
    <cfRule type="expression" dxfId="3003" priority="62">
      <formula>COUNTIF(H5,"3")</formula>
    </cfRule>
    <cfRule type="expression" dxfId="3002" priority="64">
      <formula>COUNTIF(H5,"5")</formula>
    </cfRule>
    <cfRule type="expression" dxfId="3001" priority="65">
      <formula>COUNTIF(H5,"2")</formula>
    </cfRule>
    <cfRule type="expression" dxfId="3000" priority="66">
      <formula>COUNTIF(H5,"4")</formula>
    </cfRule>
    <cfRule type="expression" dxfId="2999" priority="67">
      <formula>COUNTIF(H5,"1")</formula>
    </cfRule>
  </conditionalFormatting>
  <conditionalFormatting sqref="I5:I36">
    <cfRule type="expression" dxfId="2998" priority="63">
      <formula>COUNTIF(H5,"6")</formula>
    </cfRule>
  </conditionalFormatting>
  <conditionalFormatting sqref="L5:L36">
    <cfRule type="expression" dxfId="2997" priority="42">
      <formula>COUNTIF(K5,"a")</formula>
    </cfRule>
    <cfRule type="expression" dxfId="2996" priority="43">
      <formula>COUNTIF(K5,"9")</formula>
    </cfRule>
    <cfRule type="expression" dxfId="2995" priority="44">
      <formula>COUNTIF(K5,"k")</formula>
    </cfRule>
    <cfRule type="expression" dxfId="2994" priority="45">
      <formula>COUNTIF(K5,"u")</formula>
    </cfRule>
    <cfRule type="expression" dxfId="2993" priority="46">
      <formula>COUNTIF(K5,"f")</formula>
    </cfRule>
    <cfRule type="expression" dxfId="2992" priority="47">
      <formula>COUNTIF(K5,"8")</formula>
    </cfRule>
    <cfRule type="expression" dxfId="2991" priority="48">
      <formula>COUNTIF(K5,"7")</formula>
    </cfRule>
    <cfRule type="expression" dxfId="2990" priority="49">
      <formula>COUNTIF(K5,"3")</formula>
    </cfRule>
    <cfRule type="expression" dxfId="2989" priority="51">
      <formula>COUNTIF(K5,"5")</formula>
    </cfRule>
    <cfRule type="expression" dxfId="2988" priority="52">
      <formula>COUNTIF(K5,"2")</formula>
    </cfRule>
    <cfRule type="expression" dxfId="2987" priority="53">
      <formula>COUNTIF(K5,"4")</formula>
    </cfRule>
    <cfRule type="expression" dxfId="2986" priority="54">
      <formula>COUNTIF(K5,"1")</formula>
    </cfRule>
  </conditionalFormatting>
  <conditionalFormatting sqref="L5:L36">
    <cfRule type="expression" dxfId="2985" priority="50">
      <formula>COUNTIF(K5,"6")</formula>
    </cfRule>
  </conditionalFormatting>
  <conditionalFormatting sqref="O5:O36">
    <cfRule type="expression" dxfId="2984" priority="29">
      <formula>COUNTIF(N5,"a")</formula>
    </cfRule>
    <cfRule type="expression" dxfId="2983" priority="30">
      <formula>COUNTIF(N5,"9")</formula>
    </cfRule>
    <cfRule type="expression" dxfId="2982" priority="31">
      <formula>COUNTIF(N5,"k")</formula>
    </cfRule>
    <cfRule type="expression" dxfId="2981" priority="32">
      <formula>COUNTIF(N5,"u")</formula>
    </cfRule>
    <cfRule type="expression" dxfId="2980" priority="33">
      <formula>COUNTIF(N5,"f")</formula>
    </cfRule>
    <cfRule type="expression" dxfId="2979" priority="34">
      <formula>COUNTIF(N5,"8")</formula>
    </cfRule>
    <cfRule type="expression" dxfId="2978" priority="35">
      <formula>COUNTIF(N5,"7")</formula>
    </cfRule>
    <cfRule type="expression" dxfId="2977" priority="36">
      <formula>COUNTIF(N5,"3")</formula>
    </cfRule>
    <cfRule type="expression" dxfId="2976" priority="38">
      <formula>COUNTIF(N5,"5")</formula>
    </cfRule>
    <cfRule type="expression" dxfId="2975" priority="39">
      <formula>COUNTIF(N5,"2")</formula>
    </cfRule>
    <cfRule type="expression" dxfId="2974" priority="40">
      <formula>COUNTIF(N5,"4")</formula>
    </cfRule>
    <cfRule type="expression" dxfId="2973" priority="41">
      <formula>COUNTIF(N5,"1")</formula>
    </cfRule>
  </conditionalFormatting>
  <conditionalFormatting sqref="O5:O36">
    <cfRule type="expression" dxfId="2972" priority="37">
      <formula>COUNTIF(N5,"6")</formula>
    </cfRule>
  </conditionalFormatting>
  <conditionalFormatting sqref="R5:R36">
    <cfRule type="expression" dxfId="2971" priority="16">
      <formula>COUNTIF(Q5,"a")</formula>
    </cfRule>
    <cfRule type="expression" dxfId="2970" priority="17">
      <formula>COUNTIF(Q5,"9")</formula>
    </cfRule>
    <cfRule type="expression" dxfId="2969" priority="18">
      <formula>COUNTIF(Q5,"k")</formula>
    </cfRule>
    <cfRule type="expression" dxfId="2968" priority="19">
      <formula>COUNTIF(Q5,"u")</formula>
    </cfRule>
    <cfRule type="expression" dxfId="2967" priority="20">
      <formula>COUNTIF(Q5,"f")</formula>
    </cfRule>
    <cfRule type="expression" dxfId="2966" priority="21">
      <formula>COUNTIF(Q5,"8")</formula>
    </cfRule>
    <cfRule type="expression" dxfId="2965" priority="22">
      <formula>COUNTIF(Q5,"7")</formula>
    </cfRule>
    <cfRule type="expression" dxfId="2964" priority="23">
      <formula>COUNTIF(Q5,"3")</formula>
    </cfRule>
    <cfRule type="expression" dxfId="2963" priority="25">
      <formula>COUNTIF(Q5,"5")</formula>
    </cfRule>
    <cfRule type="expression" dxfId="2962" priority="26">
      <formula>COUNTIF(Q5,"2")</formula>
    </cfRule>
    <cfRule type="expression" dxfId="2961" priority="27">
      <formula>COUNTIF(Q5,"4")</formula>
    </cfRule>
    <cfRule type="expression" dxfId="2960" priority="28">
      <formula>COUNTIF(Q5,"1")</formula>
    </cfRule>
  </conditionalFormatting>
  <conditionalFormatting sqref="R5:R36">
    <cfRule type="expression" dxfId="2959" priority="24">
      <formula>COUNTIF(Q5,"6")</formula>
    </cfRule>
  </conditionalFormatting>
  <conditionalFormatting sqref="U5:U36">
    <cfRule type="expression" dxfId="2958" priority="3">
      <formula>COUNTIF(T5,"a")</formula>
    </cfRule>
    <cfRule type="expression" dxfId="2957" priority="4">
      <formula>COUNTIF(T5,"9")</formula>
    </cfRule>
    <cfRule type="expression" dxfId="2956" priority="5">
      <formula>COUNTIF(T5,"k")</formula>
    </cfRule>
    <cfRule type="expression" dxfId="2955" priority="6">
      <formula>COUNTIF(T5,"u")</formula>
    </cfRule>
    <cfRule type="expression" dxfId="2954" priority="7">
      <formula>COUNTIF(T5,"f")</formula>
    </cfRule>
    <cfRule type="expression" dxfId="2953" priority="8">
      <formula>COUNTIF(T5,"8")</formula>
    </cfRule>
    <cfRule type="expression" dxfId="2952" priority="9">
      <formula>COUNTIF(T5,"7")</formula>
    </cfRule>
    <cfRule type="expression" dxfId="2951" priority="10">
      <formula>COUNTIF(T5,"3")</formula>
    </cfRule>
    <cfRule type="expression" dxfId="2950" priority="12">
      <formula>COUNTIF(T5,"5")</formula>
    </cfRule>
    <cfRule type="expression" dxfId="2949" priority="13">
      <formula>COUNTIF(T5,"2")</formula>
    </cfRule>
    <cfRule type="expression" dxfId="2948" priority="14">
      <formula>COUNTIF(T5,"4")</formula>
    </cfRule>
    <cfRule type="expression" dxfId="2947" priority="15">
      <formula>COUNTIF(T5,"1")</formula>
    </cfRule>
  </conditionalFormatting>
  <conditionalFormatting sqref="U5:U36">
    <cfRule type="expression" dxfId="2946" priority="11">
      <formula>COUNTIF(T5,"6")</formula>
    </cfRule>
  </conditionalFormatting>
  <conditionalFormatting sqref="V32">
    <cfRule type="cellIs" dxfId="2945" priority="1" operator="lessThan">
      <formula>0</formula>
    </cfRule>
    <cfRule type="cellIs" dxfId="294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3450B6BB-F573-B142-A721-0AE597CAA3DF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F1D8-0020-7A43-A131-7D4FF69CC542}">
  <sheetPr codeName="Tabelle83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38</v>
      </c>
      <c r="Q1" s="176"/>
      <c r="R1" s="79">
        <f>DATE(V1,1,7*P1-3-WEEKDAY(DATE(V1,,),3))</f>
        <v>45551</v>
      </c>
      <c r="S1" s="80" t="s">
        <v>1</v>
      </c>
      <c r="T1" s="177">
        <f>DATE(V1,1,7*P1+3-WEEKDAY(DATE(V1,,),3))</f>
        <v>45557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45551</v>
      </c>
      <c r="B2" s="178"/>
      <c r="C2" s="178"/>
      <c r="D2" s="178">
        <f>A2+1</f>
        <v>45552</v>
      </c>
      <c r="E2" s="179"/>
      <c r="F2" s="179"/>
      <c r="G2" s="178">
        <f>D2+1</f>
        <v>45553</v>
      </c>
      <c r="H2" s="179"/>
      <c r="I2" s="179"/>
      <c r="J2" s="178">
        <f>G2+1</f>
        <v>45554</v>
      </c>
      <c r="K2" s="179"/>
      <c r="L2" s="179"/>
      <c r="M2" s="178">
        <f>J2+1</f>
        <v>45555</v>
      </c>
      <c r="N2" s="179"/>
      <c r="O2" s="179"/>
      <c r="P2" s="178">
        <f>M2+1</f>
        <v>45556</v>
      </c>
      <c r="Q2" s="179"/>
      <c r="R2" s="179"/>
      <c r="S2" s="178">
        <f>P2+1</f>
        <v>45557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45551</v>
      </c>
      <c r="B3" s="168"/>
      <c r="C3" s="168"/>
      <c r="D3" s="168">
        <f>A3+1</f>
        <v>45552</v>
      </c>
      <c r="E3" s="168"/>
      <c r="F3" s="168"/>
      <c r="G3" s="168">
        <f>D3+1</f>
        <v>45553</v>
      </c>
      <c r="H3" s="168"/>
      <c r="I3" s="168"/>
      <c r="J3" s="168">
        <f>G3+1</f>
        <v>45554</v>
      </c>
      <c r="K3" s="168"/>
      <c r="L3" s="168"/>
      <c r="M3" s="168">
        <f>J3+1</f>
        <v>45555</v>
      </c>
      <c r="N3" s="168"/>
      <c r="O3" s="168"/>
      <c r="P3" s="168">
        <f>M3+1</f>
        <v>45556</v>
      </c>
      <c r="Q3" s="168"/>
      <c r="R3" s="168"/>
      <c r="S3" s="168">
        <f>P3+1</f>
        <v>45557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45551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45552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45553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45554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45555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45556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45557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37'!V32</f>
        <v>-1480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-1520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943" priority="159">
      <formula>COUNTIF(B5,"a")</formula>
    </cfRule>
    <cfRule type="expression" dxfId="2942" priority="161">
      <formula>COUNTIF(B5,"9")</formula>
    </cfRule>
    <cfRule type="expression" dxfId="2941" priority="163">
      <formula>COUNTIF(B5,"k")</formula>
    </cfRule>
    <cfRule type="expression" dxfId="2940" priority="164">
      <formula>COUNTIF(B5,"u")</formula>
    </cfRule>
    <cfRule type="expression" dxfId="2939" priority="167">
      <formula>COUNTIF(B5,"f")</formula>
    </cfRule>
    <cfRule type="expression" dxfId="2938" priority="168">
      <formula>COUNTIF(B5,"8")</formula>
    </cfRule>
    <cfRule type="expression" dxfId="2937" priority="169">
      <formula>COUNTIF(B5,"7")</formula>
    </cfRule>
    <cfRule type="expression" dxfId="2936" priority="170">
      <formula>COUNTIF(B5,"3")</formula>
    </cfRule>
    <cfRule type="expression" dxfId="2935" priority="181">
      <formula>COUNTIF(B5,"5")</formula>
    </cfRule>
    <cfRule type="expression" dxfId="2934" priority="182">
      <formula>COUNTIF(B5,"2")</formula>
    </cfRule>
    <cfRule type="expression" dxfId="2933" priority="183">
      <formula>COUNTIF(B5,"4")</formula>
    </cfRule>
    <cfRule type="expression" dxfId="2932" priority="184">
      <formula>COUNTIF(B5,"1")</formula>
    </cfRule>
  </conditionalFormatting>
  <conditionalFormatting sqref="B5:B36">
    <cfRule type="cellIs" dxfId="2931" priority="160" operator="equal">
      <formula>"a"</formula>
    </cfRule>
    <cfRule type="cellIs" dxfId="2930" priority="162" operator="equal">
      <formula>"k"</formula>
    </cfRule>
    <cfRule type="cellIs" dxfId="2929" priority="165" operator="equal">
      <formula>"u"</formula>
    </cfRule>
    <cfRule type="cellIs" dxfId="2928" priority="166" operator="equal">
      <formula>"f"</formula>
    </cfRule>
    <cfRule type="cellIs" dxfId="2927" priority="171" operator="equal">
      <formula>9</formula>
    </cfRule>
    <cfRule type="cellIs" dxfId="2926" priority="172" operator="equal">
      <formula>8</formula>
    </cfRule>
    <cfRule type="cellIs" dxfId="2925" priority="173" operator="equal">
      <formula>5</formula>
    </cfRule>
    <cfRule type="cellIs" dxfId="2924" priority="174" operator="equal">
      <formula>3</formula>
    </cfRule>
    <cfRule type="cellIs" dxfId="2923" priority="176" operator="equal">
      <formula>6</formula>
    </cfRule>
    <cfRule type="cellIs" dxfId="2922" priority="177" operator="equal">
      <formula>4</formula>
    </cfRule>
    <cfRule type="cellIs" dxfId="2921" priority="178" operator="equal">
      <formula>2</formula>
    </cfRule>
    <cfRule type="cellIs" dxfId="2920" priority="179" operator="equal">
      <formula>7</formula>
    </cfRule>
    <cfRule type="cellIs" dxfId="2919" priority="180" operator="equal">
      <formula>1</formula>
    </cfRule>
  </conditionalFormatting>
  <conditionalFormatting sqref="C5:C36">
    <cfRule type="expression" dxfId="2918" priority="175">
      <formula>COUNTIF(B5,"6")</formula>
    </cfRule>
  </conditionalFormatting>
  <conditionalFormatting sqref="E5:E36">
    <cfRule type="cellIs" dxfId="2917" priority="146" operator="equal">
      <formula>"a"</formula>
    </cfRule>
    <cfRule type="cellIs" dxfId="2916" priority="147" operator="equal">
      <formula>"k"</formula>
    </cfRule>
    <cfRule type="cellIs" dxfId="2915" priority="148" operator="equal">
      <formula>"u"</formula>
    </cfRule>
    <cfRule type="cellIs" dxfId="2914" priority="149" operator="equal">
      <formula>"f"</formula>
    </cfRule>
    <cfRule type="cellIs" dxfId="2913" priority="150" operator="equal">
      <formula>9</formula>
    </cfRule>
    <cfRule type="cellIs" dxfId="2912" priority="151" operator="equal">
      <formula>8</formula>
    </cfRule>
    <cfRule type="cellIs" dxfId="2911" priority="152" operator="equal">
      <formula>5</formula>
    </cfRule>
    <cfRule type="cellIs" dxfId="2910" priority="153" operator="equal">
      <formula>3</formula>
    </cfRule>
    <cfRule type="cellIs" dxfId="2909" priority="154" operator="equal">
      <formula>6</formula>
    </cfRule>
    <cfRule type="cellIs" dxfId="2908" priority="155" operator="equal">
      <formula>4</formula>
    </cfRule>
    <cfRule type="cellIs" dxfId="2907" priority="156" operator="equal">
      <formula>2</formula>
    </cfRule>
    <cfRule type="cellIs" dxfId="2906" priority="157" operator="equal">
      <formula>7</formula>
    </cfRule>
    <cfRule type="cellIs" dxfId="2905" priority="158" operator="equal">
      <formula>1</formula>
    </cfRule>
  </conditionalFormatting>
  <conditionalFormatting sqref="H5:H36">
    <cfRule type="cellIs" dxfId="2904" priority="133" operator="equal">
      <formula>"a"</formula>
    </cfRule>
    <cfRule type="cellIs" dxfId="2903" priority="134" operator="equal">
      <formula>"k"</formula>
    </cfRule>
    <cfRule type="cellIs" dxfId="2902" priority="135" operator="equal">
      <formula>"u"</formula>
    </cfRule>
    <cfRule type="cellIs" dxfId="2901" priority="136" operator="equal">
      <formula>"f"</formula>
    </cfRule>
    <cfRule type="cellIs" dxfId="2900" priority="137" operator="equal">
      <formula>9</formula>
    </cfRule>
    <cfRule type="cellIs" dxfId="2899" priority="138" operator="equal">
      <formula>8</formula>
    </cfRule>
    <cfRule type="cellIs" dxfId="2898" priority="139" operator="equal">
      <formula>5</formula>
    </cfRule>
    <cfRule type="cellIs" dxfId="2897" priority="140" operator="equal">
      <formula>3</formula>
    </cfRule>
    <cfRule type="cellIs" dxfId="2896" priority="141" operator="equal">
      <formula>6</formula>
    </cfRule>
    <cfRule type="cellIs" dxfId="2895" priority="142" operator="equal">
      <formula>4</formula>
    </cfRule>
    <cfRule type="cellIs" dxfId="2894" priority="143" operator="equal">
      <formula>2</formula>
    </cfRule>
    <cfRule type="cellIs" dxfId="2893" priority="144" operator="equal">
      <formula>7</formula>
    </cfRule>
    <cfRule type="cellIs" dxfId="2892" priority="145" operator="equal">
      <formula>1</formula>
    </cfRule>
  </conditionalFormatting>
  <conditionalFormatting sqref="K5:K36">
    <cfRule type="cellIs" dxfId="2891" priority="120" operator="equal">
      <formula>"a"</formula>
    </cfRule>
    <cfRule type="cellIs" dxfId="2890" priority="121" operator="equal">
      <formula>"k"</formula>
    </cfRule>
    <cfRule type="cellIs" dxfId="2889" priority="122" operator="equal">
      <formula>"u"</formula>
    </cfRule>
    <cfRule type="cellIs" dxfId="2888" priority="123" operator="equal">
      <formula>"f"</formula>
    </cfRule>
    <cfRule type="cellIs" dxfId="2887" priority="124" operator="equal">
      <formula>9</formula>
    </cfRule>
    <cfRule type="cellIs" dxfId="2886" priority="125" operator="equal">
      <formula>8</formula>
    </cfRule>
    <cfRule type="cellIs" dxfId="2885" priority="126" operator="equal">
      <formula>5</formula>
    </cfRule>
    <cfRule type="cellIs" dxfId="2884" priority="127" operator="equal">
      <formula>3</formula>
    </cfRule>
    <cfRule type="cellIs" dxfId="2883" priority="128" operator="equal">
      <formula>6</formula>
    </cfRule>
    <cfRule type="cellIs" dxfId="2882" priority="129" operator="equal">
      <formula>4</formula>
    </cfRule>
    <cfRule type="cellIs" dxfId="2881" priority="130" operator="equal">
      <formula>2</formula>
    </cfRule>
    <cfRule type="cellIs" dxfId="2880" priority="131" operator="equal">
      <formula>7</formula>
    </cfRule>
    <cfRule type="cellIs" dxfId="2879" priority="132" operator="equal">
      <formula>1</formula>
    </cfRule>
  </conditionalFormatting>
  <conditionalFormatting sqref="N5:N36">
    <cfRule type="cellIs" dxfId="2878" priority="107" operator="equal">
      <formula>"a"</formula>
    </cfRule>
    <cfRule type="cellIs" dxfId="2877" priority="108" operator="equal">
      <formula>"k"</formula>
    </cfRule>
    <cfRule type="cellIs" dxfId="2876" priority="109" operator="equal">
      <formula>"u"</formula>
    </cfRule>
    <cfRule type="cellIs" dxfId="2875" priority="110" operator="equal">
      <formula>"f"</formula>
    </cfRule>
    <cfRule type="cellIs" dxfId="2874" priority="111" operator="equal">
      <formula>9</formula>
    </cfRule>
    <cfRule type="cellIs" dxfId="2873" priority="112" operator="equal">
      <formula>8</formula>
    </cfRule>
    <cfRule type="cellIs" dxfId="2872" priority="113" operator="equal">
      <formula>5</formula>
    </cfRule>
    <cfRule type="cellIs" dxfId="2871" priority="114" operator="equal">
      <formula>3</formula>
    </cfRule>
    <cfRule type="cellIs" dxfId="2870" priority="115" operator="equal">
      <formula>6</formula>
    </cfRule>
    <cfRule type="cellIs" dxfId="2869" priority="116" operator="equal">
      <formula>4</formula>
    </cfRule>
    <cfRule type="cellIs" dxfId="2868" priority="117" operator="equal">
      <formula>2</formula>
    </cfRule>
    <cfRule type="cellIs" dxfId="2867" priority="118" operator="equal">
      <formula>7</formula>
    </cfRule>
    <cfRule type="cellIs" dxfId="2866" priority="119" operator="equal">
      <formula>1</formula>
    </cfRule>
  </conditionalFormatting>
  <conditionalFormatting sqref="Q5:Q36">
    <cfRule type="cellIs" dxfId="2865" priority="94" operator="equal">
      <formula>"a"</formula>
    </cfRule>
    <cfRule type="cellIs" dxfId="2864" priority="95" operator="equal">
      <formula>"k"</formula>
    </cfRule>
    <cfRule type="cellIs" dxfId="2863" priority="96" operator="equal">
      <formula>"u"</formula>
    </cfRule>
    <cfRule type="cellIs" dxfId="2862" priority="97" operator="equal">
      <formula>"f"</formula>
    </cfRule>
    <cfRule type="cellIs" dxfId="2861" priority="98" operator="equal">
      <formula>9</formula>
    </cfRule>
    <cfRule type="cellIs" dxfId="2860" priority="99" operator="equal">
      <formula>8</formula>
    </cfRule>
    <cfRule type="cellIs" dxfId="2859" priority="100" operator="equal">
      <formula>5</formula>
    </cfRule>
    <cfRule type="cellIs" dxfId="2858" priority="101" operator="equal">
      <formula>3</formula>
    </cfRule>
    <cfRule type="cellIs" dxfId="2857" priority="102" operator="equal">
      <formula>6</formula>
    </cfRule>
    <cfRule type="cellIs" dxfId="2856" priority="103" operator="equal">
      <formula>4</formula>
    </cfRule>
    <cfRule type="cellIs" dxfId="2855" priority="104" operator="equal">
      <formula>2</formula>
    </cfRule>
    <cfRule type="cellIs" dxfId="2854" priority="105" operator="equal">
      <formula>7</formula>
    </cfRule>
    <cfRule type="cellIs" dxfId="2853" priority="106" operator="equal">
      <formula>1</formula>
    </cfRule>
  </conditionalFormatting>
  <conditionalFormatting sqref="T5:T36">
    <cfRule type="cellIs" dxfId="2852" priority="81" operator="equal">
      <formula>"a"</formula>
    </cfRule>
    <cfRule type="cellIs" dxfId="2851" priority="82" operator="equal">
      <formula>"k"</formula>
    </cfRule>
    <cfRule type="cellIs" dxfId="2850" priority="83" operator="equal">
      <formula>"u"</formula>
    </cfRule>
    <cfRule type="cellIs" dxfId="2849" priority="84" operator="equal">
      <formula>"f"</formula>
    </cfRule>
    <cfRule type="cellIs" dxfId="2848" priority="85" operator="equal">
      <formula>9</formula>
    </cfRule>
    <cfRule type="cellIs" dxfId="2847" priority="86" operator="equal">
      <formula>8</formula>
    </cfRule>
    <cfRule type="cellIs" dxfId="2846" priority="87" operator="equal">
      <formula>5</formula>
    </cfRule>
    <cfRule type="cellIs" dxfId="2845" priority="88" operator="equal">
      <formula>3</formula>
    </cfRule>
    <cfRule type="cellIs" dxfId="2844" priority="89" operator="equal">
      <formula>6</formula>
    </cfRule>
    <cfRule type="cellIs" dxfId="2843" priority="90" operator="equal">
      <formula>4</formula>
    </cfRule>
    <cfRule type="cellIs" dxfId="2842" priority="91" operator="equal">
      <formula>2</formula>
    </cfRule>
    <cfRule type="cellIs" dxfId="2841" priority="92" operator="equal">
      <formula>7</formula>
    </cfRule>
    <cfRule type="cellIs" dxfId="2840" priority="93" operator="equal">
      <formula>1</formula>
    </cfRule>
  </conditionalFormatting>
  <conditionalFormatting sqref="F5:F36">
    <cfRule type="expression" dxfId="2839" priority="68">
      <formula>COUNTIF(E5,"a")</formula>
    </cfRule>
    <cfRule type="expression" dxfId="2838" priority="69">
      <formula>COUNTIF(E5,"9")</formula>
    </cfRule>
    <cfRule type="expression" dxfId="2837" priority="70">
      <formula>COUNTIF(E5,"k")</formula>
    </cfRule>
    <cfRule type="expression" dxfId="2836" priority="71">
      <formula>COUNTIF(E5,"u")</formula>
    </cfRule>
    <cfRule type="expression" dxfId="2835" priority="72">
      <formula>COUNTIF(E5,"f")</formula>
    </cfRule>
    <cfRule type="expression" dxfId="2834" priority="73">
      <formula>COUNTIF(E5,"8")</formula>
    </cfRule>
    <cfRule type="expression" dxfId="2833" priority="74">
      <formula>COUNTIF(E5,"7")</formula>
    </cfRule>
    <cfRule type="expression" dxfId="2832" priority="75">
      <formula>COUNTIF(E5,"3")</formula>
    </cfRule>
    <cfRule type="expression" dxfId="2831" priority="77">
      <formula>COUNTIF(E5,"5")</formula>
    </cfRule>
    <cfRule type="expression" dxfId="2830" priority="78">
      <formula>COUNTIF(E5,"2")</formula>
    </cfRule>
    <cfRule type="expression" dxfId="2829" priority="79">
      <formula>COUNTIF(E5,"4")</formula>
    </cfRule>
    <cfRule type="expression" dxfId="2828" priority="80">
      <formula>COUNTIF(E5,"1")</formula>
    </cfRule>
  </conditionalFormatting>
  <conditionalFormatting sqref="F5:F36">
    <cfRule type="expression" dxfId="2827" priority="76">
      <formula>COUNTIF(E5,"6")</formula>
    </cfRule>
  </conditionalFormatting>
  <conditionalFormatting sqref="I5:I36">
    <cfRule type="expression" dxfId="2826" priority="55">
      <formula>COUNTIF(H5,"a")</formula>
    </cfRule>
    <cfRule type="expression" dxfId="2825" priority="56">
      <formula>COUNTIF(H5,"9")</formula>
    </cfRule>
    <cfRule type="expression" dxfId="2824" priority="57">
      <formula>COUNTIF(H5,"k")</formula>
    </cfRule>
    <cfRule type="expression" dxfId="2823" priority="58">
      <formula>COUNTIF(H5,"u")</formula>
    </cfRule>
    <cfRule type="expression" dxfId="2822" priority="59">
      <formula>COUNTIF(H5,"f")</formula>
    </cfRule>
    <cfRule type="expression" dxfId="2821" priority="60">
      <formula>COUNTIF(H5,"8")</formula>
    </cfRule>
    <cfRule type="expression" dxfId="2820" priority="61">
      <formula>COUNTIF(H5,"7")</formula>
    </cfRule>
    <cfRule type="expression" dxfId="2819" priority="62">
      <formula>COUNTIF(H5,"3")</formula>
    </cfRule>
    <cfRule type="expression" dxfId="2818" priority="64">
      <formula>COUNTIF(H5,"5")</formula>
    </cfRule>
    <cfRule type="expression" dxfId="2817" priority="65">
      <formula>COUNTIF(H5,"2")</formula>
    </cfRule>
    <cfRule type="expression" dxfId="2816" priority="66">
      <formula>COUNTIF(H5,"4")</formula>
    </cfRule>
    <cfRule type="expression" dxfId="2815" priority="67">
      <formula>COUNTIF(H5,"1")</formula>
    </cfRule>
  </conditionalFormatting>
  <conditionalFormatting sqref="I5:I36">
    <cfRule type="expression" dxfId="2814" priority="63">
      <formula>COUNTIF(H5,"6")</formula>
    </cfRule>
  </conditionalFormatting>
  <conditionalFormatting sqref="L5:L36">
    <cfRule type="expression" dxfId="2813" priority="42">
      <formula>COUNTIF(K5,"a")</formula>
    </cfRule>
    <cfRule type="expression" dxfId="2812" priority="43">
      <formula>COUNTIF(K5,"9")</formula>
    </cfRule>
    <cfRule type="expression" dxfId="2811" priority="44">
      <formula>COUNTIF(K5,"k")</formula>
    </cfRule>
    <cfRule type="expression" dxfId="2810" priority="45">
      <formula>COUNTIF(K5,"u")</formula>
    </cfRule>
    <cfRule type="expression" dxfId="2809" priority="46">
      <formula>COUNTIF(K5,"f")</formula>
    </cfRule>
    <cfRule type="expression" dxfId="2808" priority="47">
      <formula>COUNTIF(K5,"8")</formula>
    </cfRule>
    <cfRule type="expression" dxfId="2807" priority="48">
      <formula>COUNTIF(K5,"7")</formula>
    </cfRule>
    <cfRule type="expression" dxfId="2806" priority="49">
      <formula>COUNTIF(K5,"3")</formula>
    </cfRule>
    <cfRule type="expression" dxfId="2805" priority="51">
      <formula>COUNTIF(K5,"5")</formula>
    </cfRule>
    <cfRule type="expression" dxfId="2804" priority="52">
      <formula>COUNTIF(K5,"2")</formula>
    </cfRule>
    <cfRule type="expression" dxfId="2803" priority="53">
      <formula>COUNTIF(K5,"4")</formula>
    </cfRule>
    <cfRule type="expression" dxfId="2802" priority="54">
      <formula>COUNTIF(K5,"1")</formula>
    </cfRule>
  </conditionalFormatting>
  <conditionalFormatting sqref="L5:L36">
    <cfRule type="expression" dxfId="2801" priority="50">
      <formula>COUNTIF(K5,"6")</formula>
    </cfRule>
  </conditionalFormatting>
  <conditionalFormatting sqref="O5:O36">
    <cfRule type="expression" dxfId="2800" priority="29">
      <formula>COUNTIF(N5,"a")</formula>
    </cfRule>
    <cfRule type="expression" dxfId="2799" priority="30">
      <formula>COUNTIF(N5,"9")</formula>
    </cfRule>
    <cfRule type="expression" dxfId="2798" priority="31">
      <formula>COUNTIF(N5,"k")</formula>
    </cfRule>
    <cfRule type="expression" dxfId="2797" priority="32">
      <formula>COUNTIF(N5,"u")</formula>
    </cfRule>
    <cfRule type="expression" dxfId="2796" priority="33">
      <formula>COUNTIF(N5,"f")</formula>
    </cfRule>
    <cfRule type="expression" dxfId="2795" priority="34">
      <formula>COUNTIF(N5,"8")</formula>
    </cfRule>
    <cfRule type="expression" dxfId="2794" priority="35">
      <formula>COUNTIF(N5,"7")</formula>
    </cfRule>
    <cfRule type="expression" dxfId="2793" priority="36">
      <formula>COUNTIF(N5,"3")</formula>
    </cfRule>
    <cfRule type="expression" dxfId="2792" priority="38">
      <formula>COUNTIF(N5,"5")</formula>
    </cfRule>
    <cfRule type="expression" dxfId="2791" priority="39">
      <formula>COUNTIF(N5,"2")</formula>
    </cfRule>
    <cfRule type="expression" dxfId="2790" priority="40">
      <formula>COUNTIF(N5,"4")</formula>
    </cfRule>
    <cfRule type="expression" dxfId="2789" priority="41">
      <formula>COUNTIF(N5,"1")</formula>
    </cfRule>
  </conditionalFormatting>
  <conditionalFormatting sqref="O5:O36">
    <cfRule type="expression" dxfId="2788" priority="37">
      <formula>COUNTIF(N5,"6")</formula>
    </cfRule>
  </conditionalFormatting>
  <conditionalFormatting sqref="R5:R36">
    <cfRule type="expression" dxfId="2787" priority="16">
      <formula>COUNTIF(Q5,"a")</formula>
    </cfRule>
    <cfRule type="expression" dxfId="2786" priority="17">
      <formula>COUNTIF(Q5,"9")</formula>
    </cfRule>
    <cfRule type="expression" dxfId="2785" priority="18">
      <formula>COUNTIF(Q5,"k")</formula>
    </cfRule>
    <cfRule type="expression" dxfId="2784" priority="19">
      <formula>COUNTIF(Q5,"u")</formula>
    </cfRule>
    <cfRule type="expression" dxfId="2783" priority="20">
      <formula>COUNTIF(Q5,"f")</formula>
    </cfRule>
    <cfRule type="expression" dxfId="2782" priority="21">
      <formula>COUNTIF(Q5,"8")</formula>
    </cfRule>
    <cfRule type="expression" dxfId="2781" priority="22">
      <formula>COUNTIF(Q5,"7")</formula>
    </cfRule>
    <cfRule type="expression" dxfId="2780" priority="23">
      <formula>COUNTIF(Q5,"3")</formula>
    </cfRule>
    <cfRule type="expression" dxfId="2779" priority="25">
      <formula>COUNTIF(Q5,"5")</formula>
    </cfRule>
    <cfRule type="expression" dxfId="2778" priority="26">
      <formula>COUNTIF(Q5,"2")</formula>
    </cfRule>
    <cfRule type="expression" dxfId="2777" priority="27">
      <formula>COUNTIF(Q5,"4")</formula>
    </cfRule>
    <cfRule type="expression" dxfId="2776" priority="28">
      <formula>COUNTIF(Q5,"1")</formula>
    </cfRule>
  </conditionalFormatting>
  <conditionalFormatting sqref="R5:R36">
    <cfRule type="expression" dxfId="2775" priority="24">
      <formula>COUNTIF(Q5,"6")</formula>
    </cfRule>
  </conditionalFormatting>
  <conditionalFormatting sqref="U5:U36">
    <cfRule type="expression" dxfId="2774" priority="3">
      <formula>COUNTIF(T5,"a")</formula>
    </cfRule>
    <cfRule type="expression" dxfId="2773" priority="4">
      <formula>COUNTIF(T5,"9")</formula>
    </cfRule>
    <cfRule type="expression" dxfId="2772" priority="5">
      <formula>COUNTIF(T5,"k")</formula>
    </cfRule>
    <cfRule type="expression" dxfId="2771" priority="6">
      <formula>COUNTIF(T5,"u")</formula>
    </cfRule>
    <cfRule type="expression" dxfId="2770" priority="7">
      <formula>COUNTIF(T5,"f")</formula>
    </cfRule>
    <cfRule type="expression" dxfId="2769" priority="8">
      <formula>COUNTIF(T5,"8")</formula>
    </cfRule>
    <cfRule type="expression" dxfId="2768" priority="9">
      <formula>COUNTIF(T5,"7")</formula>
    </cfRule>
    <cfRule type="expression" dxfId="2767" priority="10">
      <formula>COUNTIF(T5,"3")</formula>
    </cfRule>
    <cfRule type="expression" dxfId="2766" priority="12">
      <formula>COUNTIF(T5,"5")</formula>
    </cfRule>
    <cfRule type="expression" dxfId="2765" priority="13">
      <formula>COUNTIF(T5,"2")</formula>
    </cfRule>
    <cfRule type="expression" dxfId="2764" priority="14">
      <formula>COUNTIF(T5,"4")</formula>
    </cfRule>
    <cfRule type="expression" dxfId="2763" priority="15">
      <formula>COUNTIF(T5,"1")</formula>
    </cfRule>
  </conditionalFormatting>
  <conditionalFormatting sqref="U5:U36">
    <cfRule type="expression" dxfId="2762" priority="11">
      <formula>COUNTIF(T5,"6")</formula>
    </cfRule>
  </conditionalFormatting>
  <conditionalFormatting sqref="V32">
    <cfRule type="cellIs" dxfId="2761" priority="1" operator="lessThan">
      <formula>0</formula>
    </cfRule>
    <cfRule type="cellIs" dxfId="276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6C611DDB-6ACA-5840-AE26-B48A04863248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36FE-207F-2142-B7DE-94B9571F8E2B}">
  <sheetPr codeName="Tabelle84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39</v>
      </c>
      <c r="Q1" s="176"/>
      <c r="R1" s="79">
        <f>DATE(V1,1,7*P1-3-WEEKDAY(DATE(V1,,),3))</f>
        <v>45558</v>
      </c>
      <c r="S1" s="80" t="s">
        <v>1</v>
      </c>
      <c r="T1" s="177">
        <f>DATE(V1,1,7*P1+3-WEEKDAY(DATE(V1,,),3))</f>
        <v>45564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45558</v>
      </c>
      <c r="B2" s="178"/>
      <c r="C2" s="178"/>
      <c r="D2" s="178">
        <f>A2+1</f>
        <v>45559</v>
      </c>
      <c r="E2" s="179"/>
      <c r="F2" s="179"/>
      <c r="G2" s="178">
        <f>D2+1</f>
        <v>45560</v>
      </c>
      <c r="H2" s="179"/>
      <c r="I2" s="179"/>
      <c r="J2" s="178">
        <f>G2+1</f>
        <v>45561</v>
      </c>
      <c r="K2" s="179"/>
      <c r="L2" s="179"/>
      <c r="M2" s="178">
        <f>J2+1</f>
        <v>45562</v>
      </c>
      <c r="N2" s="179"/>
      <c r="O2" s="179"/>
      <c r="P2" s="178">
        <f>M2+1</f>
        <v>45563</v>
      </c>
      <c r="Q2" s="179"/>
      <c r="R2" s="179"/>
      <c r="S2" s="178">
        <f>P2+1</f>
        <v>45564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45558</v>
      </c>
      <c r="B3" s="168"/>
      <c r="C3" s="168"/>
      <c r="D3" s="168">
        <f>A3+1</f>
        <v>45559</v>
      </c>
      <c r="E3" s="168"/>
      <c r="F3" s="168"/>
      <c r="G3" s="168">
        <f>D3+1</f>
        <v>45560</v>
      </c>
      <c r="H3" s="168"/>
      <c r="I3" s="168"/>
      <c r="J3" s="168">
        <f>G3+1</f>
        <v>45561</v>
      </c>
      <c r="K3" s="168"/>
      <c r="L3" s="168"/>
      <c r="M3" s="168">
        <f>J3+1</f>
        <v>45562</v>
      </c>
      <c r="N3" s="168"/>
      <c r="O3" s="168"/>
      <c r="P3" s="168">
        <f>M3+1</f>
        <v>45563</v>
      </c>
      <c r="Q3" s="168"/>
      <c r="R3" s="168"/>
      <c r="S3" s="168">
        <f>P3+1</f>
        <v>45564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45558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45559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45560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45561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45562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45563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45564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38'!V32</f>
        <v>-1520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-1560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759" priority="159">
      <formula>COUNTIF(B5,"a")</formula>
    </cfRule>
    <cfRule type="expression" dxfId="2758" priority="161">
      <formula>COUNTIF(B5,"9")</formula>
    </cfRule>
    <cfRule type="expression" dxfId="2757" priority="163">
      <formula>COUNTIF(B5,"k")</formula>
    </cfRule>
    <cfRule type="expression" dxfId="2756" priority="164">
      <formula>COUNTIF(B5,"u")</formula>
    </cfRule>
    <cfRule type="expression" dxfId="2755" priority="167">
      <formula>COUNTIF(B5,"f")</formula>
    </cfRule>
    <cfRule type="expression" dxfId="2754" priority="168">
      <formula>COUNTIF(B5,"8")</formula>
    </cfRule>
    <cfRule type="expression" dxfId="2753" priority="169">
      <formula>COUNTIF(B5,"7")</formula>
    </cfRule>
    <cfRule type="expression" dxfId="2752" priority="170">
      <formula>COUNTIF(B5,"3")</formula>
    </cfRule>
    <cfRule type="expression" dxfId="2751" priority="181">
      <formula>COUNTIF(B5,"5")</formula>
    </cfRule>
    <cfRule type="expression" dxfId="2750" priority="182">
      <formula>COUNTIF(B5,"2")</formula>
    </cfRule>
    <cfRule type="expression" dxfId="2749" priority="183">
      <formula>COUNTIF(B5,"4")</formula>
    </cfRule>
    <cfRule type="expression" dxfId="2748" priority="184">
      <formula>COUNTIF(B5,"1")</formula>
    </cfRule>
  </conditionalFormatting>
  <conditionalFormatting sqref="B5:B36">
    <cfRule type="cellIs" dxfId="2747" priority="160" operator="equal">
      <formula>"a"</formula>
    </cfRule>
    <cfRule type="cellIs" dxfId="2746" priority="162" operator="equal">
      <formula>"k"</formula>
    </cfRule>
    <cfRule type="cellIs" dxfId="2745" priority="165" operator="equal">
      <formula>"u"</formula>
    </cfRule>
    <cfRule type="cellIs" dxfId="2744" priority="166" operator="equal">
      <formula>"f"</formula>
    </cfRule>
    <cfRule type="cellIs" dxfId="2743" priority="171" operator="equal">
      <formula>9</formula>
    </cfRule>
    <cfRule type="cellIs" dxfId="2742" priority="172" operator="equal">
      <formula>8</formula>
    </cfRule>
    <cfRule type="cellIs" dxfId="2741" priority="173" operator="equal">
      <formula>5</formula>
    </cfRule>
    <cfRule type="cellIs" dxfId="2740" priority="174" operator="equal">
      <formula>3</formula>
    </cfRule>
    <cfRule type="cellIs" dxfId="2739" priority="176" operator="equal">
      <formula>6</formula>
    </cfRule>
    <cfRule type="cellIs" dxfId="2738" priority="177" operator="equal">
      <formula>4</formula>
    </cfRule>
    <cfRule type="cellIs" dxfId="2737" priority="178" operator="equal">
      <formula>2</formula>
    </cfRule>
    <cfRule type="cellIs" dxfId="2736" priority="179" operator="equal">
      <formula>7</formula>
    </cfRule>
    <cfRule type="cellIs" dxfId="2735" priority="180" operator="equal">
      <formula>1</formula>
    </cfRule>
  </conditionalFormatting>
  <conditionalFormatting sqref="C5:C36">
    <cfRule type="expression" dxfId="2734" priority="175">
      <formula>COUNTIF(B5,"6")</formula>
    </cfRule>
  </conditionalFormatting>
  <conditionalFormatting sqref="E5:E36">
    <cfRule type="cellIs" dxfId="2733" priority="146" operator="equal">
      <formula>"a"</formula>
    </cfRule>
    <cfRule type="cellIs" dxfId="2732" priority="147" operator="equal">
      <formula>"k"</formula>
    </cfRule>
    <cfRule type="cellIs" dxfId="2731" priority="148" operator="equal">
      <formula>"u"</formula>
    </cfRule>
    <cfRule type="cellIs" dxfId="2730" priority="149" operator="equal">
      <formula>"f"</formula>
    </cfRule>
    <cfRule type="cellIs" dxfId="2729" priority="150" operator="equal">
      <formula>9</formula>
    </cfRule>
    <cfRule type="cellIs" dxfId="2728" priority="151" operator="equal">
      <formula>8</formula>
    </cfRule>
    <cfRule type="cellIs" dxfId="2727" priority="152" operator="equal">
      <formula>5</formula>
    </cfRule>
    <cfRule type="cellIs" dxfId="2726" priority="153" operator="equal">
      <formula>3</formula>
    </cfRule>
    <cfRule type="cellIs" dxfId="2725" priority="154" operator="equal">
      <formula>6</formula>
    </cfRule>
    <cfRule type="cellIs" dxfId="2724" priority="155" operator="equal">
      <formula>4</formula>
    </cfRule>
    <cfRule type="cellIs" dxfId="2723" priority="156" operator="equal">
      <formula>2</formula>
    </cfRule>
    <cfRule type="cellIs" dxfId="2722" priority="157" operator="equal">
      <formula>7</formula>
    </cfRule>
    <cfRule type="cellIs" dxfId="2721" priority="158" operator="equal">
      <formula>1</formula>
    </cfRule>
  </conditionalFormatting>
  <conditionalFormatting sqref="H5:H36">
    <cfRule type="cellIs" dxfId="2720" priority="133" operator="equal">
      <formula>"a"</formula>
    </cfRule>
    <cfRule type="cellIs" dxfId="2719" priority="134" operator="equal">
      <formula>"k"</formula>
    </cfRule>
    <cfRule type="cellIs" dxfId="2718" priority="135" operator="equal">
      <formula>"u"</formula>
    </cfRule>
    <cfRule type="cellIs" dxfId="2717" priority="136" operator="equal">
      <formula>"f"</formula>
    </cfRule>
    <cfRule type="cellIs" dxfId="2716" priority="137" operator="equal">
      <formula>9</formula>
    </cfRule>
    <cfRule type="cellIs" dxfId="2715" priority="138" operator="equal">
      <formula>8</formula>
    </cfRule>
    <cfRule type="cellIs" dxfId="2714" priority="139" operator="equal">
      <formula>5</formula>
    </cfRule>
    <cfRule type="cellIs" dxfId="2713" priority="140" operator="equal">
      <formula>3</formula>
    </cfRule>
    <cfRule type="cellIs" dxfId="2712" priority="141" operator="equal">
      <formula>6</formula>
    </cfRule>
    <cfRule type="cellIs" dxfId="2711" priority="142" operator="equal">
      <formula>4</formula>
    </cfRule>
    <cfRule type="cellIs" dxfId="2710" priority="143" operator="equal">
      <formula>2</formula>
    </cfRule>
    <cfRule type="cellIs" dxfId="2709" priority="144" operator="equal">
      <formula>7</formula>
    </cfRule>
    <cfRule type="cellIs" dxfId="2708" priority="145" operator="equal">
      <formula>1</formula>
    </cfRule>
  </conditionalFormatting>
  <conditionalFormatting sqref="K5:K36">
    <cfRule type="cellIs" dxfId="2707" priority="120" operator="equal">
      <formula>"a"</formula>
    </cfRule>
    <cfRule type="cellIs" dxfId="2706" priority="121" operator="equal">
      <formula>"k"</formula>
    </cfRule>
    <cfRule type="cellIs" dxfId="2705" priority="122" operator="equal">
      <formula>"u"</formula>
    </cfRule>
    <cfRule type="cellIs" dxfId="2704" priority="123" operator="equal">
      <formula>"f"</formula>
    </cfRule>
    <cfRule type="cellIs" dxfId="2703" priority="124" operator="equal">
      <formula>9</formula>
    </cfRule>
    <cfRule type="cellIs" dxfId="2702" priority="125" operator="equal">
      <formula>8</formula>
    </cfRule>
    <cfRule type="cellIs" dxfId="2701" priority="126" operator="equal">
      <formula>5</formula>
    </cfRule>
    <cfRule type="cellIs" dxfId="2700" priority="127" operator="equal">
      <formula>3</formula>
    </cfRule>
    <cfRule type="cellIs" dxfId="2699" priority="128" operator="equal">
      <formula>6</formula>
    </cfRule>
    <cfRule type="cellIs" dxfId="2698" priority="129" operator="equal">
      <formula>4</formula>
    </cfRule>
    <cfRule type="cellIs" dxfId="2697" priority="130" operator="equal">
      <formula>2</formula>
    </cfRule>
    <cfRule type="cellIs" dxfId="2696" priority="131" operator="equal">
      <formula>7</formula>
    </cfRule>
    <cfRule type="cellIs" dxfId="2695" priority="132" operator="equal">
      <formula>1</formula>
    </cfRule>
  </conditionalFormatting>
  <conditionalFormatting sqref="N5:N36">
    <cfRule type="cellIs" dxfId="2694" priority="107" operator="equal">
      <formula>"a"</formula>
    </cfRule>
    <cfRule type="cellIs" dxfId="2693" priority="108" operator="equal">
      <formula>"k"</formula>
    </cfRule>
    <cfRule type="cellIs" dxfId="2692" priority="109" operator="equal">
      <formula>"u"</formula>
    </cfRule>
    <cfRule type="cellIs" dxfId="2691" priority="110" operator="equal">
      <formula>"f"</formula>
    </cfRule>
    <cfRule type="cellIs" dxfId="2690" priority="111" operator="equal">
      <formula>9</formula>
    </cfRule>
    <cfRule type="cellIs" dxfId="2689" priority="112" operator="equal">
      <formula>8</formula>
    </cfRule>
    <cfRule type="cellIs" dxfId="2688" priority="113" operator="equal">
      <formula>5</formula>
    </cfRule>
    <cfRule type="cellIs" dxfId="2687" priority="114" operator="equal">
      <formula>3</formula>
    </cfRule>
    <cfRule type="cellIs" dxfId="2686" priority="115" operator="equal">
      <formula>6</formula>
    </cfRule>
    <cfRule type="cellIs" dxfId="2685" priority="116" operator="equal">
      <formula>4</formula>
    </cfRule>
    <cfRule type="cellIs" dxfId="2684" priority="117" operator="equal">
      <formula>2</formula>
    </cfRule>
    <cfRule type="cellIs" dxfId="2683" priority="118" operator="equal">
      <formula>7</formula>
    </cfRule>
    <cfRule type="cellIs" dxfId="2682" priority="119" operator="equal">
      <formula>1</formula>
    </cfRule>
  </conditionalFormatting>
  <conditionalFormatting sqref="Q5:Q36">
    <cfRule type="cellIs" dxfId="2681" priority="94" operator="equal">
      <formula>"a"</formula>
    </cfRule>
    <cfRule type="cellIs" dxfId="2680" priority="95" operator="equal">
      <formula>"k"</formula>
    </cfRule>
    <cfRule type="cellIs" dxfId="2679" priority="96" operator="equal">
      <formula>"u"</formula>
    </cfRule>
    <cfRule type="cellIs" dxfId="2678" priority="97" operator="equal">
      <formula>"f"</formula>
    </cfRule>
    <cfRule type="cellIs" dxfId="2677" priority="98" operator="equal">
      <formula>9</formula>
    </cfRule>
    <cfRule type="cellIs" dxfId="2676" priority="99" operator="equal">
      <formula>8</formula>
    </cfRule>
    <cfRule type="cellIs" dxfId="2675" priority="100" operator="equal">
      <formula>5</formula>
    </cfRule>
    <cfRule type="cellIs" dxfId="2674" priority="101" operator="equal">
      <formula>3</formula>
    </cfRule>
    <cfRule type="cellIs" dxfId="2673" priority="102" operator="equal">
      <formula>6</formula>
    </cfRule>
    <cfRule type="cellIs" dxfId="2672" priority="103" operator="equal">
      <formula>4</formula>
    </cfRule>
    <cfRule type="cellIs" dxfId="2671" priority="104" operator="equal">
      <formula>2</formula>
    </cfRule>
    <cfRule type="cellIs" dxfId="2670" priority="105" operator="equal">
      <formula>7</formula>
    </cfRule>
    <cfRule type="cellIs" dxfId="2669" priority="106" operator="equal">
      <formula>1</formula>
    </cfRule>
  </conditionalFormatting>
  <conditionalFormatting sqref="T5:T36">
    <cfRule type="cellIs" dxfId="2668" priority="81" operator="equal">
      <formula>"a"</formula>
    </cfRule>
    <cfRule type="cellIs" dxfId="2667" priority="82" operator="equal">
      <formula>"k"</formula>
    </cfRule>
    <cfRule type="cellIs" dxfId="2666" priority="83" operator="equal">
      <formula>"u"</formula>
    </cfRule>
    <cfRule type="cellIs" dxfId="2665" priority="84" operator="equal">
      <formula>"f"</formula>
    </cfRule>
    <cfRule type="cellIs" dxfId="2664" priority="85" operator="equal">
      <formula>9</formula>
    </cfRule>
    <cfRule type="cellIs" dxfId="2663" priority="86" operator="equal">
      <formula>8</formula>
    </cfRule>
    <cfRule type="cellIs" dxfId="2662" priority="87" operator="equal">
      <formula>5</formula>
    </cfRule>
    <cfRule type="cellIs" dxfId="2661" priority="88" operator="equal">
      <formula>3</formula>
    </cfRule>
    <cfRule type="cellIs" dxfId="2660" priority="89" operator="equal">
      <formula>6</formula>
    </cfRule>
    <cfRule type="cellIs" dxfId="2659" priority="90" operator="equal">
      <formula>4</formula>
    </cfRule>
    <cfRule type="cellIs" dxfId="2658" priority="91" operator="equal">
      <formula>2</formula>
    </cfRule>
    <cfRule type="cellIs" dxfId="2657" priority="92" operator="equal">
      <formula>7</formula>
    </cfRule>
    <cfRule type="cellIs" dxfId="2656" priority="93" operator="equal">
      <formula>1</formula>
    </cfRule>
  </conditionalFormatting>
  <conditionalFormatting sqref="F5:F36">
    <cfRule type="expression" dxfId="2655" priority="68">
      <formula>COUNTIF(E5,"a")</formula>
    </cfRule>
    <cfRule type="expression" dxfId="2654" priority="69">
      <formula>COUNTIF(E5,"9")</formula>
    </cfRule>
    <cfRule type="expression" dxfId="2653" priority="70">
      <formula>COUNTIF(E5,"k")</formula>
    </cfRule>
    <cfRule type="expression" dxfId="2652" priority="71">
      <formula>COUNTIF(E5,"u")</formula>
    </cfRule>
    <cfRule type="expression" dxfId="2651" priority="72">
      <formula>COUNTIF(E5,"f")</formula>
    </cfRule>
    <cfRule type="expression" dxfId="2650" priority="73">
      <formula>COUNTIF(E5,"8")</formula>
    </cfRule>
    <cfRule type="expression" dxfId="2649" priority="74">
      <formula>COUNTIF(E5,"7")</formula>
    </cfRule>
    <cfRule type="expression" dxfId="2648" priority="75">
      <formula>COUNTIF(E5,"3")</formula>
    </cfRule>
    <cfRule type="expression" dxfId="2647" priority="77">
      <formula>COUNTIF(E5,"5")</formula>
    </cfRule>
    <cfRule type="expression" dxfId="2646" priority="78">
      <formula>COUNTIF(E5,"2")</formula>
    </cfRule>
    <cfRule type="expression" dxfId="2645" priority="79">
      <formula>COUNTIF(E5,"4")</formula>
    </cfRule>
    <cfRule type="expression" dxfId="2644" priority="80">
      <formula>COUNTIF(E5,"1")</formula>
    </cfRule>
  </conditionalFormatting>
  <conditionalFormatting sqref="F5:F36">
    <cfRule type="expression" dxfId="2643" priority="76">
      <formula>COUNTIF(E5,"6")</formula>
    </cfRule>
  </conditionalFormatting>
  <conditionalFormatting sqref="I5:I36">
    <cfRule type="expression" dxfId="2642" priority="55">
      <formula>COUNTIF(H5,"a")</formula>
    </cfRule>
    <cfRule type="expression" dxfId="2641" priority="56">
      <formula>COUNTIF(H5,"9")</formula>
    </cfRule>
    <cfRule type="expression" dxfId="2640" priority="57">
      <formula>COUNTIF(H5,"k")</formula>
    </cfRule>
    <cfRule type="expression" dxfId="2639" priority="58">
      <formula>COUNTIF(H5,"u")</formula>
    </cfRule>
    <cfRule type="expression" dxfId="2638" priority="59">
      <formula>COUNTIF(H5,"f")</formula>
    </cfRule>
    <cfRule type="expression" dxfId="2637" priority="60">
      <formula>COUNTIF(H5,"8")</formula>
    </cfRule>
    <cfRule type="expression" dxfId="2636" priority="61">
      <formula>COUNTIF(H5,"7")</formula>
    </cfRule>
    <cfRule type="expression" dxfId="2635" priority="62">
      <formula>COUNTIF(H5,"3")</formula>
    </cfRule>
    <cfRule type="expression" dxfId="2634" priority="64">
      <formula>COUNTIF(H5,"5")</formula>
    </cfRule>
    <cfRule type="expression" dxfId="2633" priority="65">
      <formula>COUNTIF(H5,"2")</formula>
    </cfRule>
    <cfRule type="expression" dxfId="2632" priority="66">
      <formula>COUNTIF(H5,"4")</formula>
    </cfRule>
    <cfRule type="expression" dxfId="2631" priority="67">
      <formula>COUNTIF(H5,"1")</formula>
    </cfRule>
  </conditionalFormatting>
  <conditionalFormatting sqref="I5:I36">
    <cfRule type="expression" dxfId="2630" priority="63">
      <formula>COUNTIF(H5,"6")</formula>
    </cfRule>
  </conditionalFormatting>
  <conditionalFormatting sqref="L5:L36">
    <cfRule type="expression" dxfId="2629" priority="42">
      <formula>COUNTIF(K5,"a")</formula>
    </cfRule>
    <cfRule type="expression" dxfId="2628" priority="43">
      <formula>COUNTIF(K5,"9")</formula>
    </cfRule>
    <cfRule type="expression" dxfId="2627" priority="44">
      <formula>COUNTIF(K5,"k")</formula>
    </cfRule>
    <cfRule type="expression" dxfId="2626" priority="45">
      <formula>COUNTIF(K5,"u")</formula>
    </cfRule>
    <cfRule type="expression" dxfId="2625" priority="46">
      <formula>COUNTIF(K5,"f")</formula>
    </cfRule>
    <cfRule type="expression" dxfId="2624" priority="47">
      <formula>COUNTIF(K5,"8")</formula>
    </cfRule>
    <cfRule type="expression" dxfId="2623" priority="48">
      <formula>COUNTIF(K5,"7")</formula>
    </cfRule>
    <cfRule type="expression" dxfId="2622" priority="49">
      <formula>COUNTIF(K5,"3")</formula>
    </cfRule>
    <cfRule type="expression" dxfId="2621" priority="51">
      <formula>COUNTIF(K5,"5")</formula>
    </cfRule>
    <cfRule type="expression" dxfId="2620" priority="52">
      <formula>COUNTIF(K5,"2")</formula>
    </cfRule>
    <cfRule type="expression" dxfId="2619" priority="53">
      <formula>COUNTIF(K5,"4")</formula>
    </cfRule>
    <cfRule type="expression" dxfId="2618" priority="54">
      <formula>COUNTIF(K5,"1")</formula>
    </cfRule>
  </conditionalFormatting>
  <conditionalFormatting sqref="L5:L36">
    <cfRule type="expression" dxfId="2617" priority="50">
      <formula>COUNTIF(K5,"6")</formula>
    </cfRule>
  </conditionalFormatting>
  <conditionalFormatting sqref="O5:O36">
    <cfRule type="expression" dxfId="2616" priority="29">
      <formula>COUNTIF(N5,"a")</formula>
    </cfRule>
    <cfRule type="expression" dxfId="2615" priority="30">
      <formula>COUNTIF(N5,"9")</formula>
    </cfRule>
    <cfRule type="expression" dxfId="2614" priority="31">
      <formula>COUNTIF(N5,"k")</formula>
    </cfRule>
    <cfRule type="expression" dxfId="2613" priority="32">
      <formula>COUNTIF(N5,"u")</formula>
    </cfRule>
    <cfRule type="expression" dxfId="2612" priority="33">
      <formula>COUNTIF(N5,"f")</formula>
    </cfRule>
    <cfRule type="expression" dxfId="2611" priority="34">
      <formula>COUNTIF(N5,"8")</formula>
    </cfRule>
    <cfRule type="expression" dxfId="2610" priority="35">
      <formula>COUNTIF(N5,"7")</formula>
    </cfRule>
    <cfRule type="expression" dxfId="2609" priority="36">
      <formula>COUNTIF(N5,"3")</formula>
    </cfRule>
    <cfRule type="expression" dxfId="2608" priority="38">
      <formula>COUNTIF(N5,"5")</formula>
    </cfRule>
    <cfRule type="expression" dxfId="2607" priority="39">
      <formula>COUNTIF(N5,"2")</formula>
    </cfRule>
    <cfRule type="expression" dxfId="2606" priority="40">
      <formula>COUNTIF(N5,"4")</formula>
    </cfRule>
    <cfRule type="expression" dxfId="2605" priority="41">
      <formula>COUNTIF(N5,"1")</formula>
    </cfRule>
  </conditionalFormatting>
  <conditionalFormatting sqref="O5:O36">
    <cfRule type="expression" dxfId="2604" priority="37">
      <formula>COUNTIF(N5,"6")</formula>
    </cfRule>
  </conditionalFormatting>
  <conditionalFormatting sqref="R5:R36">
    <cfRule type="expression" dxfId="2603" priority="16">
      <formula>COUNTIF(Q5,"a")</formula>
    </cfRule>
    <cfRule type="expression" dxfId="2602" priority="17">
      <formula>COUNTIF(Q5,"9")</formula>
    </cfRule>
    <cfRule type="expression" dxfId="2601" priority="18">
      <formula>COUNTIF(Q5,"k")</formula>
    </cfRule>
    <cfRule type="expression" dxfId="2600" priority="19">
      <formula>COUNTIF(Q5,"u")</formula>
    </cfRule>
    <cfRule type="expression" dxfId="2599" priority="20">
      <formula>COUNTIF(Q5,"f")</formula>
    </cfRule>
    <cfRule type="expression" dxfId="2598" priority="21">
      <formula>COUNTIF(Q5,"8")</formula>
    </cfRule>
    <cfRule type="expression" dxfId="2597" priority="22">
      <formula>COUNTIF(Q5,"7")</formula>
    </cfRule>
    <cfRule type="expression" dxfId="2596" priority="23">
      <formula>COUNTIF(Q5,"3")</formula>
    </cfRule>
    <cfRule type="expression" dxfId="2595" priority="25">
      <formula>COUNTIF(Q5,"5")</formula>
    </cfRule>
    <cfRule type="expression" dxfId="2594" priority="26">
      <formula>COUNTIF(Q5,"2")</formula>
    </cfRule>
    <cfRule type="expression" dxfId="2593" priority="27">
      <formula>COUNTIF(Q5,"4")</formula>
    </cfRule>
    <cfRule type="expression" dxfId="2592" priority="28">
      <formula>COUNTIF(Q5,"1")</formula>
    </cfRule>
  </conditionalFormatting>
  <conditionalFormatting sqref="R5:R36">
    <cfRule type="expression" dxfId="2591" priority="24">
      <formula>COUNTIF(Q5,"6")</formula>
    </cfRule>
  </conditionalFormatting>
  <conditionalFormatting sqref="U5:U36">
    <cfRule type="expression" dxfId="2590" priority="3">
      <formula>COUNTIF(T5,"a")</formula>
    </cfRule>
    <cfRule type="expression" dxfId="2589" priority="4">
      <formula>COUNTIF(T5,"9")</formula>
    </cfRule>
    <cfRule type="expression" dxfId="2588" priority="5">
      <formula>COUNTIF(T5,"k")</formula>
    </cfRule>
    <cfRule type="expression" dxfId="2587" priority="6">
      <formula>COUNTIF(T5,"u")</formula>
    </cfRule>
    <cfRule type="expression" dxfId="2586" priority="7">
      <formula>COUNTIF(T5,"f")</formula>
    </cfRule>
    <cfRule type="expression" dxfId="2585" priority="8">
      <formula>COUNTIF(T5,"8")</formula>
    </cfRule>
    <cfRule type="expression" dxfId="2584" priority="9">
      <formula>COUNTIF(T5,"7")</formula>
    </cfRule>
    <cfRule type="expression" dxfId="2583" priority="10">
      <formula>COUNTIF(T5,"3")</formula>
    </cfRule>
    <cfRule type="expression" dxfId="2582" priority="12">
      <formula>COUNTIF(T5,"5")</formula>
    </cfRule>
    <cfRule type="expression" dxfId="2581" priority="13">
      <formula>COUNTIF(T5,"2")</formula>
    </cfRule>
    <cfRule type="expression" dxfId="2580" priority="14">
      <formula>COUNTIF(T5,"4")</formula>
    </cfRule>
    <cfRule type="expression" dxfId="2579" priority="15">
      <formula>COUNTIF(T5,"1")</formula>
    </cfRule>
  </conditionalFormatting>
  <conditionalFormatting sqref="U5:U36">
    <cfRule type="expression" dxfId="2578" priority="11">
      <formula>COUNTIF(T5,"6")</formula>
    </cfRule>
  </conditionalFormatting>
  <conditionalFormatting sqref="V32">
    <cfRule type="cellIs" dxfId="2577" priority="1" operator="lessThan">
      <formula>0</formula>
    </cfRule>
    <cfRule type="cellIs" dxfId="257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80A2DA4B-BFC4-074D-AB5A-C6CC196BFF77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D2B6-5303-D341-BE20-B5521628D1EC}">
  <sheetPr codeName="Tabelle85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40</v>
      </c>
      <c r="Q1" s="176"/>
      <c r="R1" s="79">
        <f>DATE(V1,1,7*P1-3-WEEKDAY(DATE(V1,,),3))</f>
        <v>45565</v>
      </c>
      <c r="S1" s="80" t="s">
        <v>1</v>
      </c>
      <c r="T1" s="177">
        <f>DATE(V1,1,7*P1+3-WEEKDAY(DATE(V1,,),3))</f>
        <v>45571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45565</v>
      </c>
      <c r="B2" s="178"/>
      <c r="C2" s="178"/>
      <c r="D2" s="178">
        <f>A2+1</f>
        <v>45566</v>
      </c>
      <c r="E2" s="179"/>
      <c r="F2" s="179"/>
      <c r="G2" s="178">
        <f>D2+1</f>
        <v>45567</v>
      </c>
      <c r="H2" s="179"/>
      <c r="I2" s="179"/>
      <c r="J2" s="178">
        <f>G2+1</f>
        <v>45568</v>
      </c>
      <c r="K2" s="179"/>
      <c r="L2" s="179"/>
      <c r="M2" s="178">
        <f>J2+1</f>
        <v>45569</v>
      </c>
      <c r="N2" s="179"/>
      <c r="O2" s="179"/>
      <c r="P2" s="178">
        <f>M2+1</f>
        <v>45570</v>
      </c>
      <c r="Q2" s="179"/>
      <c r="R2" s="179"/>
      <c r="S2" s="178">
        <f>P2+1</f>
        <v>45571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45565</v>
      </c>
      <c r="B3" s="168"/>
      <c r="C3" s="168"/>
      <c r="D3" s="168">
        <f>A3+1</f>
        <v>45566</v>
      </c>
      <c r="E3" s="168"/>
      <c r="F3" s="168"/>
      <c r="G3" s="168">
        <f>D3+1</f>
        <v>45567</v>
      </c>
      <c r="H3" s="168"/>
      <c r="I3" s="168"/>
      <c r="J3" s="168">
        <f>G3+1</f>
        <v>45568</v>
      </c>
      <c r="K3" s="168"/>
      <c r="L3" s="168"/>
      <c r="M3" s="168">
        <f>J3+1</f>
        <v>45569</v>
      </c>
      <c r="N3" s="168"/>
      <c r="O3" s="168"/>
      <c r="P3" s="168">
        <f>M3+1</f>
        <v>45570</v>
      </c>
      <c r="Q3" s="168"/>
      <c r="R3" s="168"/>
      <c r="S3" s="168">
        <f>P3+1</f>
        <v>45571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45565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45566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45567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45568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45569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45570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45571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39'!V32</f>
        <v>-1560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-1600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575" priority="159">
      <formula>COUNTIF(B5,"a")</formula>
    </cfRule>
    <cfRule type="expression" dxfId="2574" priority="161">
      <formula>COUNTIF(B5,"9")</formula>
    </cfRule>
    <cfRule type="expression" dxfId="2573" priority="163">
      <formula>COUNTIF(B5,"k")</formula>
    </cfRule>
    <cfRule type="expression" dxfId="2572" priority="164">
      <formula>COUNTIF(B5,"u")</formula>
    </cfRule>
    <cfRule type="expression" dxfId="2571" priority="167">
      <formula>COUNTIF(B5,"f")</formula>
    </cfRule>
    <cfRule type="expression" dxfId="2570" priority="168">
      <formula>COUNTIF(B5,"8")</formula>
    </cfRule>
    <cfRule type="expression" dxfId="2569" priority="169">
      <formula>COUNTIF(B5,"7")</formula>
    </cfRule>
    <cfRule type="expression" dxfId="2568" priority="170">
      <formula>COUNTIF(B5,"3")</formula>
    </cfRule>
    <cfRule type="expression" dxfId="2567" priority="181">
      <formula>COUNTIF(B5,"5")</formula>
    </cfRule>
    <cfRule type="expression" dxfId="2566" priority="182">
      <formula>COUNTIF(B5,"2")</formula>
    </cfRule>
    <cfRule type="expression" dxfId="2565" priority="183">
      <formula>COUNTIF(B5,"4")</formula>
    </cfRule>
    <cfRule type="expression" dxfId="2564" priority="184">
      <formula>COUNTIF(B5,"1")</formula>
    </cfRule>
  </conditionalFormatting>
  <conditionalFormatting sqref="B5:B36">
    <cfRule type="cellIs" dxfId="2563" priority="160" operator="equal">
      <formula>"a"</formula>
    </cfRule>
    <cfRule type="cellIs" dxfId="2562" priority="162" operator="equal">
      <formula>"k"</formula>
    </cfRule>
    <cfRule type="cellIs" dxfId="2561" priority="165" operator="equal">
      <formula>"u"</formula>
    </cfRule>
    <cfRule type="cellIs" dxfId="2560" priority="166" operator="equal">
      <formula>"f"</formula>
    </cfRule>
    <cfRule type="cellIs" dxfId="2559" priority="171" operator="equal">
      <formula>9</formula>
    </cfRule>
    <cfRule type="cellIs" dxfId="2558" priority="172" operator="equal">
      <formula>8</formula>
    </cfRule>
    <cfRule type="cellIs" dxfId="2557" priority="173" operator="equal">
      <formula>5</formula>
    </cfRule>
    <cfRule type="cellIs" dxfId="2556" priority="174" operator="equal">
      <formula>3</formula>
    </cfRule>
    <cfRule type="cellIs" dxfId="2555" priority="176" operator="equal">
      <formula>6</formula>
    </cfRule>
    <cfRule type="cellIs" dxfId="2554" priority="177" operator="equal">
      <formula>4</formula>
    </cfRule>
    <cfRule type="cellIs" dxfId="2553" priority="178" operator="equal">
      <formula>2</formula>
    </cfRule>
    <cfRule type="cellIs" dxfId="2552" priority="179" operator="equal">
      <formula>7</formula>
    </cfRule>
    <cfRule type="cellIs" dxfId="2551" priority="180" operator="equal">
      <formula>1</formula>
    </cfRule>
  </conditionalFormatting>
  <conditionalFormatting sqref="C5:C36">
    <cfRule type="expression" dxfId="2550" priority="175">
      <formula>COUNTIF(B5,"6")</formula>
    </cfRule>
  </conditionalFormatting>
  <conditionalFormatting sqref="E5:E36">
    <cfRule type="cellIs" dxfId="2549" priority="146" operator="equal">
      <formula>"a"</formula>
    </cfRule>
    <cfRule type="cellIs" dxfId="2548" priority="147" operator="equal">
      <formula>"k"</formula>
    </cfRule>
    <cfRule type="cellIs" dxfId="2547" priority="148" operator="equal">
      <formula>"u"</formula>
    </cfRule>
    <cfRule type="cellIs" dxfId="2546" priority="149" operator="equal">
      <formula>"f"</formula>
    </cfRule>
    <cfRule type="cellIs" dxfId="2545" priority="150" operator="equal">
      <formula>9</formula>
    </cfRule>
    <cfRule type="cellIs" dxfId="2544" priority="151" operator="equal">
      <formula>8</formula>
    </cfRule>
    <cfRule type="cellIs" dxfId="2543" priority="152" operator="equal">
      <formula>5</formula>
    </cfRule>
    <cfRule type="cellIs" dxfId="2542" priority="153" operator="equal">
      <formula>3</formula>
    </cfRule>
    <cfRule type="cellIs" dxfId="2541" priority="154" operator="equal">
      <formula>6</formula>
    </cfRule>
    <cfRule type="cellIs" dxfId="2540" priority="155" operator="equal">
      <formula>4</formula>
    </cfRule>
    <cfRule type="cellIs" dxfId="2539" priority="156" operator="equal">
      <formula>2</formula>
    </cfRule>
    <cfRule type="cellIs" dxfId="2538" priority="157" operator="equal">
      <formula>7</formula>
    </cfRule>
    <cfRule type="cellIs" dxfId="2537" priority="158" operator="equal">
      <formula>1</formula>
    </cfRule>
  </conditionalFormatting>
  <conditionalFormatting sqref="H5:H36">
    <cfRule type="cellIs" dxfId="2536" priority="133" operator="equal">
      <formula>"a"</formula>
    </cfRule>
    <cfRule type="cellIs" dxfId="2535" priority="134" operator="equal">
      <formula>"k"</formula>
    </cfRule>
    <cfRule type="cellIs" dxfId="2534" priority="135" operator="equal">
      <formula>"u"</formula>
    </cfRule>
    <cfRule type="cellIs" dxfId="2533" priority="136" operator="equal">
      <formula>"f"</formula>
    </cfRule>
    <cfRule type="cellIs" dxfId="2532" priority="137" operator="equal">
      <formula>9</formula>
    </cfRule>
    <cfRule type="cellIs" dxfId="2531" priority="138" operator="equal">
      <formula>8</formula>
    </cfRule>
    <cfRule type="cellIs" dxfId="2530" priority="139" operator="equal">
      <formula>5</formula>
    </cfRule>
    <cfRule type="cellIs" dxfId="2529" priority="140" operator="equal">
      <formula>3</formula>
    </cfRule>
    <cfRule type="cellIs" dxfId="2528" priority="141" operator="equal">
      <formula>6</formula>
    </cfRule>
    <cfRule type="cellIs" dxfId="2527" priority="142" operator="equal">
      <formula>4</formula>
    </cfRule>
    <cfRule type="cellIs" dxfId="2526" priority="143" operator="equal">
      <formula>2</formula>
    </cfRule>
    <cfRule type="cellIs" dxfId="2525" priority="144" operator="equal">
      <formula>7</formula>
    </cfRule>
    <cfRule type="cellIs" dxfId="2524" priority="145" operator="equal">
      <formula>1</formula>
    </cfRule>
  </conditionalFormatting>
  <conditionalFormatting sqref="K5:K36">
    <cfRule type="cellIs" dxfId="2523" priority="120" operator="equal">
      <formula>"a"</formula>
    </cfRule>
    <cfRule type="cellIs" dxfId="2522" priority="121" operator="equal">
      <formula>"k"</formula>
    </cfRule>
    <cfRule type="cellIs" dxfId="2521" priority="122" operator="equal">
      <formula>"u"</formula>
    </cfRule>
    <cfRule type="cellIs" dxfId="2520" priority="123" operator="equal">
      <formula>"f"</formula>
    </cfRule>
    <cfRule type="cellIs" dxfId="2519" priority="124" operator="equal">
      <formula>9</formula>
    </cfRule>
    <cfRule type="cellIs" dxfId="2518" priority="125" operator="equal">
      <formula>8</formula>
    </cfRule>
    <cfRule type="cellIs" dxfId="2517" priority="126" operator="equal">
      <formula>5</formula>
    </cfRule>
    <cfRule type="cellIs" dxfId="2516" priority="127" operator="equal">
      <formula>3</formula>
    </cfRule>
    <cfRule type="cellIs" dxfId="2515" priority="128" operator="equal">
      <formula>6</formula>
    </cfRule>
    <cfRule type="cellIs" dxfId="2514" priority="129" operator="equal">
      <formula>4</formula>
    </cfRule>
    <cfRule type="cellIs" dxfId="2513" priority="130" operator="equal">
      <formula>2</formula>
    </cfRule>
    <cfRule type="cellIs" dxfId="2512" priority="131" operator="equal">
      <formula>7</formula>
    </cfRule>
    <cfRule type="cellIs" dxfId="2511" priority="132" operator="equal">
      <formula>1</formula>
    </cfRule>
  </conditionalFormatting>
  <conditionalFormatting sqref="N5:N36">
    <cfRule type="cellIs" dxfId="2510" priority="107" operator="equal">
      <formula>"a"</formula>
    </cfRule>
    <cfRule type="cellIs" dxfId="2509" priority="108" operator="equal">
      <formula>"k"</formula>
    </cfRule>
    <cfRule type="cellIs" dxfId="2508" priority="109" operator="equal">
      <formula>"u"</formula>
    </cfRule>
    <cfRule type="cellIs" dxfId="2507" priority="110" operator="equal">
      <formula>"f"</formula>
    </cfRule>
    <cfRule type="cellIs" dxfId="2506" priority="111" operator="equal">
      <formula>9</formula>
    </cfRule>
    <cfRule type="cellIs" dxfId="2505" priority="112" operator="equal">
      <formula>8</formula>
    </cfRule>
    <cfRule type="cellIs" dxfId="2504" priority="113" operator="equal">
      <formula>5</formula>
    </cfRule>
    <cfRule type="cellIs" dxfId="2503" priority="114" operator="equal">
      <formula>3</formula>
    </cfRule>
    <cfRule type="cellIs" dxfId="2502" priority="115" operator="equal">
      <formula>6</formula>
    </cfRule>
    <cfRule type="cellIs" dxfId="2501" priority="116" operator="equal">
      <formula>4</formula>
    </cfRule>
    <cfRule type="cellIs" dxfId="2500" priority="117" operator="equal">
      <formula>2</formula>
    </cfRule>
    <cfRule type="cellIs" dxfId="2499" priority="118" operator="equal">
      <formula>7</formula>
    </cfRule>
    <cfRule type="cellIs" dxfId="2498" priority="119" operator="equal">
      <formula>1</formula>
    </cfRule>
  </conditionalFormatting>
  <conditionalFormatting sqref="Q5:Q36">
    <cfRule type="cellIs" dxfId="2497" priority="94" operator="equal">
      <formula>"a"</formula>
    </cfRule>
    <cfRule type="cellIs" dxfId="2496" priority="95" operator="equal">
      <formula>"k"</formula>
    </cfRule>
    <cfRule type="cellIs" dxfId="2495" priority="96" operator="equal">
      <formula>"u"</formula>
    </cfRule>
    <cfRule type="cellIs" dxfId="2494" priority="97" operator="equal">
      <formula>"f"</formula>
    </cfRule>
    <cfRule type="cellIs" dxfId="2493" priority="98" operator="equal">
      <formula>9</formula>
    </cfRule>
    <cfRule type="cellIs" dxfId="2492" priority="99" operator="equal">
      <formula>8</formula>
    </cfRule>
    <cfRule type="cellIs" dxfId="2491" priority="100" operator="equal">
      <formula>5</formula>
    </cfRule>
    <cfRule type="cellIs" dxfId="2490" priority="101" operator="equal">
      <formula>3</formula>
    </cfRule>
    <cfRule type="cellIs" dxfId="2489" priority="102" operator="equal">
      <formula>6</formula>
    </cfRule>
    <cfRule type="cellIs" dxfId="2488" priority="103" operator="equal">
      <formula>4</formula>
    </cfRule>
    <cfRule type="cellIs" dxfId="2487" priority="104" operator="equal">
      <formula>2</formula>
    </cfRule>
    <cfRule type="cellIs" dxfId="2486" priority="105" operator="equal">
      <formula>7</formula>
    </cfRule>
    <cfRule type="cellIs" dxfId="2485" priority="106" operator="equal">
      <formula>1</formula>
    </cfRule>
  </conditionalFormatting>
  <conditionalFormatting sqref="T5:T36">
    <cfRule type="cellIs" dxfId="2484" priority="81" operator="equal">
      <formula>"a"</formula>
    </cfRule>
    <cfRule type="cellIs" dxfId="2483" priority="82" operator="equal">
      <formula>"k"</formula>
    </cfRule>
    <cfRule type="cellIs" dxfId="2482" priority="83" operator="equal">
      <formula>"u"</formula>
    </cfRule>
    <cfRule type="cellIs" dxfId="2481" priority="84" operator="equal">
      <formula>"f"</formula>
    </cfRule>
    <cfRule type="cellIs" dxfId="2480" priority="85" operator="equal">
      <formula>9</formula>
    </cfRule>
    <cfRule type="cellIs" dxfId="2479" priority="86" operator="equal">
      <formula>8</formula>
    </cfRule>
    <cfRule type="cellIs" dxfId="2478" priority="87" operator="equal">
      <formula>5</formula>
    </cfRule>
    <cfRule type="cellIs" dxfId="2477" priority="88" operator="equal">
      <formula>3</formula>
    </cfRule>
    <cfRule type="cellIs" dxfId="2476" priority="89" operator="equal">
      <formula>6</formula>
    </cfRule>
    <cfRule type="cellIs" dxfId="2475" priority="90" operator="equal">
      <formula>4</formula>
    </cfRule>
    <cfRule type="cellIs" dxfId="2474" priority="91" operator="equal">
      <formula>2</formula>
    </cfRule>
    <cfRule type="cellIs" dxfId="2473" priority="92" operator="equal">
      <formula>7</formula>
    </cfRule>
    <cfRule type="cellIs" dxfId="2472" priority="93" operator="equal">
      <formula>1</formula>
    </cfRule>
  </conditionalFormatting>
  <conditionalFormatting sqref="F5:F36">
    <cfRule type="expression" dxfId="2471" priority="68">
      <formula>COUNTIF(E5,"a")</formula>
    </cfRule>
    <cfRule type="expression" dxfId="2470" priority="69">
      <formula>COUNTIF(E5,"9")</formula>
    </cfRule>
    <cfRule type="expression" dxfId="2469" priority="70">
      <formula>COUNTIF(E5,"k")</formula>
    </cfRule>
    <cfRule type="expression" dxfId="2468" priority="71">
      <formula>COUNTIF(E5,"u")</formula>
    </cfRule>
    <cfRule type="expression" dxfId="2467" priority="72">
      <formula>COUNTIF(E5,"f")</formula>
    </cfRule>
    <cfRule type="expression" dxfId="2466" priority="73">
      <formula>COUNTIF(E5,"8")</formula>
    </cfRule>
    <cfRule type="expression" dxfId="2465" priority="74">
      <formula>COUNTIF(E5,"7")</formula>
    </cfRule>
    <cfRule type="expression" dxfId="2464" priority="75">
      <formula>COUNTIF(E5,"3")</formula>
    </cfRule>
    <cfRule type="expression" dxfId="2463" priority="77">
      <formula>COUNTIF(E5,"5")</formula>
    </cfRule>
    <cfRule type="expression" dxfId="2462" priority="78">
      <formula>COUNTIF(E5,"2")</formula>
    </cfRule>
    <cfRule type="expression" dxfId="2461" priority="79">
      <formula>COUNTIF(E5,"4")</formula>
    </cfRule>
    <cfRule type="expression" dxfId="2460" priority="80">
      <formula>COUNTIF(E5,"1")</formula>
    </cfRule>
  </conditionalFormatting>
  <conditionalFormatting sqref="F5:F36">
    <cfRule type="expression" dxfId="2459" priority="76">
      <formula>COUNTIF(E5,"6")</formula>
    </cfRule>
  </conditionalFormatting>
  <conditionalFormatting sqref="I5:I36">
    <cfRule type="expression" dxfId="2458" priority="55">
      <formula>COUNTIF(H5,"a")</formula>
    </cfRule>
    <cfRule type="expression" dxfId="2457" priority="56">
      <formula>COUNTIF(H5,"9")</formula>
    </cfRule>
    <cfRule type="expression" dxfId="2456" priority="57">
      <formula>COUNTIF(H5,"k")</formula>
    </cfRule>
    <cfRule type="expression" dxfId="2455" priority="58">
      <formula>COUNTIF(H5,"u")</formula>
    </cfRule>
    <cfRule type="expression" dxfId="2454" priority="59">
      <formula>COUNTIF(H5,"f")</formula>
    </cfRule>
    <cfRule type="expression" dxfId="2453" priority="60">
      <formula>COUNTIF(H5,"8")</formula>
    </cfRule>
    <cfRule type="expression" dxfId="2452" priority="61">
      <formula>COUNTIF(H5,"7")</formula>
    </cfRule>
    <cfRule type="expression" dxfId="2451" priority="62">
      <formula>COUNTIF(H5,"3")</formula>
    </cfRule>
    <cfRule type="expression" dxfId="2450" priority="64">
      <formula>COUNTIF(H5,"5")</formula>
    </cfRule>
    <cfRule type="expression" dxfId="2449" priority="65">
      <formula>COUNTIF(H5,"2")</formula>
    </cfRule>
    <cfRule type="expression" dxfId="2448" priority="66">
      <formula>COUNTIF(H5,"4")</formula>
    </cfRule>
    <cfRule type="expression" dxfId="2447" priority="67">
      <formula>COUNTIF(H5,"1")</formula>
    </cfRule>
  </conditionalFormatting>
  <conditionalFormatting sqref="I5:I36">
    <cfRule type="expression" dxfId="2446" priority="63">
      <formula>COUNTIF(H5,"6")</formula>
    </cfRule>
  </conditionalFormatting>
  <conditionalFormatting sqref="L5:L36">
    <cfRule type="expression" dxfId="2445" priority="42">
      <formula>COUNTIF(K5,"a")</formula>
    </cfRule>
    <cfRule type="expression" dxfId="2444" priority="43">
      <formula>COUNTIF(K5,"9")</formula>
    </cfRule>
    <cfRule type="expression" dxfId="2443" priority="44">
      <formula>COUNTIF(K5,"k")</formula>
    </cfRule>
    <cfRule type="expression" dxfId="2442" priority="45">
      <formula>COUNTIF(K5,"u")</formula>
    </cfRule>
    <cfRule type="expression" dxfId="2441" priority="46">
      <formula>COUNTIF(K5,"f")</formula>
    </cfRule>
    <cfRule type="expression" dxfId="2440" priority="47">
      <formula>COUNTIF(K5,"8")</formula>
    </cfRule>
    <cfRule type="expression" dxfId="2439" priority="48">
      <formula>COUNTIF(K5,"7")</formula>
    </cfRule>
    <cfRule type="expression" dxfId="2438" priority="49">
      <formula>COUNTIF(K5,"3")</formula>
    </cfRule>
    <cfRule type="expression" dxfId="2437" priority="51">
      <formula>COUNTIF(K5,"5")</formula>
    </cfRule>
    <cfRule type="expression" dxfId="2436" priority="52">
      <formula>COUNTIF(K5,"2")</formula>
    </cfRule>
    <cfRule type="expression" dxfId="2435" priority="53">
      <formula>COUNTIF(K5,"4")</formula>
    </cfRule>
    <cfRule type="expression" dxfId="2434" priority="54">
      <formula>COUNTIF(K5,"1")</formula>
    </cfRule>
  </conditionalFormatting>
  <conditionalFormatting sqref="L5:L36">
    <cfRule type="expression" dxfId="2433" priority="50">
      <formula>COUNTIF(K5,"6")</formula>
    </cfRule>
  </conditionalFormatting>
  <conditionalFormatting sqref="O5:O36">
    <cfRule type="expression" dxfId="2432" priority="29">
      <formula>COUNTIF(N5,"a")</formula>
    </cfRule>
    <cfRule type="expression" dxfId="2431" priority="30">
      <formula>COUNTIF(N5,"9")</formula>
    </cfRule>
    <cfRule type="expression" dxfId="2430" priority="31">
      <formula>COUNTIF(N5,"k")</formula>
    </cfRule>
    <cfRule type="expression" dxfId="2429" priority="32">
      <formula>COUNTIF(N5,"u")</formula>
    </cfRule>
    <cfRule type="expression" dxfId="2428" priority="33">
      <formula>COUNTIF(N5,"f")</formula>
    </cfRule>
    <cfRule type="expression" dxfId="2427" priority="34">
      <formula>COUNTIF(N5,"8")</formula>
    </cfRule>
    <cfRule type="expression" dxfId="2426" priority="35">
      <formula>COUNTIF(N5,"7")</formula>
    </cfRule>
    <cfRule type="expression" dxfId="2425" priority="36">
      <formula>COUNTIF(N5,"3")</formula>
    </cfRule>
    <cfRule type="expression" dxfId="2424" priority="38">
      <formula>COUNTIF(N5,"5")</formula>
    </cfRule>
    <cfRule type="expression" dxfId="2423" priority="39">
      <formula>COUNTIF(N5,"2")</formula>
    </cfRule>
    <cfRule type="expression" dxfId="2422" priority="40">
      <formula>COUNTIF(N5,"4")</formula>
    </cfRule>
    <cfRule type="expression" dxfId="2421" priority="41">
      <formula>COUNTIF(N5,"1")</formula>
    </cfRule>
  </conditionalFormatting>
  <conditionalFormatting sqref="O5:O36">
    <cfRule type="expression" dxfId="2420" priority="37">
      <formula>COUNTIF(N5,"6")</formula>
    </cfRule>
  </conditionalFormatting>
  <conditionalFormatting sqref="R5:R36">
    <cfRule type="expression" dxfId="2419" priority="16">
      <formula>COUNTIF(Q5,"a")</formula>
    </cfRule>
    <cfRule type="expression" dxfId="2418" priority="17">
      <formula>COUNTIF(Q5,"9")</formula>
    </cfRule>
    <cfRule type="expression" dxfId="2417" priority="18">
      <formula>COUNTIF(Q5,"k")</formula>
    </cfRule>
    <cfRule type="expression" dxfId="2416" priority="19">
      <formula>COUNTIF(Q5,"u")</formula>
    </cfRule>
    <cfRule type="expression" dxfId="2415" priority="20">
      <formula>COUNTIF(Q5,"f")</formula>
    </cfRule>
    <cfRule type="expression" dxfId="2414" priority="21">
      <formula>COUNTIF(Q5,"8")</formula>
    </cfRule>
    <cfRule type="expression" dxfId="2413" priority="22">
      <formula>COUNTIF(Q5,"7")</formula>
    </cfRule>
    <cfRule type="expression" dxfId="2412" priority="23">
      <formula>COUNTIF(Q5,"3")</formula>
    </cfRule>
    <cfRule type="expression" dxfId="2411" priority="25">
      <formula>COUNTIF(Q5,"5")</formula>
    </cfRule>
    <cfRule type="expression" dxfId="2410" priority="26">
      <formula>COUNTIF(Q5,"2")</formula>
    </cfRule>
    <cfRule type="expression" dxfId="2409" priority="27">
      <formula>COUNTIF(Q5,"4")</formula>
    </cfRule>
    <cfRule type="expression" dxfId="2408" priority="28">
      <formula>COUNTIF(Q5,"1")</formula>
    </cfRule>
  </conditionalFormatting>
  <conditionalFormatting sqref="R5:R36">
    <cfRule type="expression" dxfId="2407" priority="24">
      <formula>COUNTIF(Q5,"6")</formula>
    </cfRule>
  </conditionalFormatting>
  <conditionalFormatting sqref="U5:U36">
    <cfRule type="expression" dxfId="2406" priority="3">
      <formula>COUNTIF(T5,"a")</formula>
    </cfRule>
    <cfRule type="expression" dxfId="2405" priority="4">
      <formula>COUNTIF(T5,"9")</formula>
    </cfRule>
    <cfRule type="expression" dxfId="2404" priority="5">
      <formula>COUNTIF(T5,"k")</formula>
    </cfRule>
    <cfRule type="expression" dxfId="2403" priority="6">
      <formula>COUNTIF(T5,"u")</formula>
    </cfRule>
    <cfRule type="expression" dxfId="2402" priority="7">
      <formula>COUNTIF(T5,"f")</formula>
    </cfRule>
    <cfRule type="expression" dxfId="2401" priority="8">
      <formula>COUNTIF(T5,"8")</formula>
    </cfRule>
    <cfRule type="expression" dxfId="2400" priority="9">
      <formula>COUNTIF(T5,"7")</formula>
    </cfRule>
    <cfRule type="expression" dxfId="2399" priority="10">
      <formula>COUNTIF(T5,"3")</formula>
    </cfRule>
    <cfRule type="expression" dxfId="2398" priority="12">
      <formula>COUNTIF(T5,"5")</formula>
    </cfRule>
    <cfRule type="expression" dxfId="2397" priority="13">
      <formula>COUNTIF(T5,"2")</formula>
    </cfRule>
    <cfRule type="expression" dxfId="2396" priority="14">
      <formula>COUNTIF(T5,"4")</formula>
    </cfRule>
    <cfRule type="expression" dxfId="2395" priority="15">
      <formula>COUNTIF(T5,"1")</formula>
    </cfRule>
  </conditionalFormatting>
  <conditionalFormatting sqref="U5:U36">
    <cfRule type="expression" dxfId="2394" priority="11">
      <formula>COUNTIF(T5,"6")</formula>
    </cfRule>
  </conditionalFormatting>
  <conditionalFormatting sqref="V32">
    <cfRule type="cellIs" dxfId="2393" priority="1" operator="lessThan">
      <formula>0</formula>
    </cfRule>
    <cfRule type="cellIs" dxfId="239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E03959E-73E5-574D-8E41-8CC333B7B052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6E82E-1748-064E-A4F3-4C9872F4F450}">
  <sheetPr codeName="Tabelle8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41</v>
      </c>
      <c r="Q1" s="176"/>
      <c r="R1" s="79">
        <f>DATE(V1,1,7*P1-3-WEEKDAY(DATE(V1,,),3))</f>
        <v>45572</v>
      </c>
      <c r="S1" s="80" t="s">
        <v>1</v>
      </c>
      <c r="T1" s="177">
        <f>DATE(V1,1,7*P1+3-WEEKDAY(DATE(V1,,),3))</f>
        <v>45578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45572</v>
      </c>
      <c r="B2" s="178"/>
      <c r="C2" s="178"/>
      <c r="D2" s="178">
        <f>A2+1</f>
        <v>45573</v>
      </c>
      <c r="E2" s="179"/>
      <c r="F2" s="179"/>
      <c r="G2" s="178">
        <f>D2+1</f>
        <v>45574</v>
      </c>
      <c r="H2" s="179"/>
      <c r="I2" s="179"/>
      <c r="J2" s="178">
        <f>G2+1</f>
        <v>45575</v>
      </c>
      <c r="K2" s="179"/>
      <c r="L2" s="179"/>
      <c r="M2" s="178">
        <f>J2+1</f>
        <v>45576</v>
      </c>
      <c r="N2" s="179"/>
      <c r="O2" s="179"/>
      <c r="P2" s="178">
        <f>M2+1</f>
        <v>45577</v>
      </c>
      <c r="Q2" s="179"/>
      <c r="R2" s="179"/>
      <c r="S2" s="178">
        <f>P2+1</f>
        <v>45578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45572</v>
      </c>
      <c r="B3" s="168"/>
      <c r="C3" s="168"/>
      <c r="D3" s="168">
        <f>A3+1</f>
        <v>45573</v>
      </c>
      <c r="E3" s="168"/>
      <c r="F3" s="168"/>
      <c r="G3" s="168">
        <f>D3+1</f>
        <v>45574</v>
      </c>
      <c r="H3" s="168"/>
      <c r="I3" s="168"/>
      <c r="J3" s="168">
        <f>G3+1</f>
        <v>45575</v>
      </c>
      <c r="K3" s="168"/>
      <c r="L3" s="168"/>
      <c r="M3" s="168">
        <f>J3+1</f>
        <v>45576</v>
      </c>
      <c r="N3" s="168"/>
      <c r="O3" s="168"/>
      <c r="P3" s="168">
        <f>M3+1</f>
        <v>45577</v>
      </c>
      <c r="Q3" s="168"/>
      <c r="R3" s="168"/>
      <c r="S3" s="168">
        <f>P3+1</f>
        <v>45578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45572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45573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45574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45575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45576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45577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45578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40'!V32</f>
        <v>-1600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-1640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391" priority="159">
      <formula>COUNTIF(B5,"a")</formula>
    </cfRule>
    <cfRule type="expression" dxfId="2390" priority="161">
      <formula>COUNTIF(B5,"9")</formula>
    </cfRule>
    <cfRule type="expression" dxfId="2389" priority="163">
      <formula>COUNTIF(B5,"k")</formula>
    </cfRule>
    <cfRule type="expression" dxfId="2388" priority="164">
      <formula>COUNTIF(B5,"u")</formula>
    </cfRule>
    <cfRule type="expression" dxfId="2387" priority="167">
      <formula>COUNTIF(B5,"f")</formula>
    </cfRule>
    <cfRule type="expression" dxfId="2386" priority="168">
      <formula>COUNTIF(B5,"8")</formula>
    </cfRule>
    <cfRule type="expression" dxfId="2385" priority="169">
      <formula>COUNTIF(B5,"7")</formula>
    </cfRule>
    <cfRule type="expression" dxfId="2384" priority="170">
      <formula>COUNTIF(B5,"3")</formula>
    </cfRule>
    <cfRule type="expression" dxfId="2383" priority="181">
      <formula>COUNTIF(B5,"5")</formula>
    </cfRule>
    <cfRule type="expression" dxfId="2382" priority="182">
      <formula>COUNTIF(B5,"2")</formula>
    </cfRule>
    <cfRule type="expression" dxfId="2381" priority="183">
      <formula>COUNTIF(B5,"4")</formula>
    </cfRule>
    <cfRule type="expression" dxfId="2380" priority="184">
      <formula>COUNTIF(B5,"1")</formula>
    </cfRule>
  </conditionalFormatting>
  <conditionalFormatting sqref="B5:B36">
    <cfRule type="cellIs" dxfId="2379" priority="160" operator="equal">
      <formula>"a"</formula>
    </cfRule>
    <cfRule type="cellIs" dxfId="2378" priority="162" operator="equal">
      <formula>"k"</formula>
    </cfRule>
    <cfRule type="cellIs" dxfId="2377" priority="165" operator="equal">
      <formula>"u"</formula>
    </cfRule>
    <cfRule type="cellIs" dxfId="2376" priority="166" operator="equal">
      <formula>"f"</formula>
    </cfRule>
    <cfRule type="cellIs" dxfId="2375" priority="171" operator="equal">
      <formula>9</formula>
    </cfRule>
    <cfRule type="cellIs" dxfId="2374" priority="172" operator="equal">
      <formula>8</formula>
    </cfRule>
    <cfRule type="cellIs" dxfId="2373" priority="173" operator="equal">
      <formula>5</formula>
    </cfRule>
    <cfRule type="cellIs" dxfId="2372" priority="174" operator="equal">
      <formula>3</formula>
    </cfRule>
    <cfRule type="cellIs" dxfId="2371" priority="176" operator="equal">
      <formula>6</formula>
    </cfRule>
    <cfRule type="cellIs" dxfId="2370" priority="177" operator="equal">
      <formula>4</formula>
    </cfRule>
    <cfRule type="cellIs" dxfId="2369" priority="178" operator="equal">
      <formula>2</formula>
    </cfRule>
    <cfRule type="cellIs" dxfId="2368" priority="179" operator="equal">
      <formula>7</formula>
    </cfRule>
    <cfRule type="cellIs" dxfId="2367" priority="180" operator="equal">
      <formula>1</formula>
    </cfRule>
  </conditionalFormatting>
  <conditionalFormatting sqref="C5:C36">
    <cfRule type="expression" dxfId="2366" priority="175">
      <formula>COUNTIF(B5,"6")</formula>
    </cfRule>
  </conditionalFormatting>
  <conditionalFormatting sqref="E5:E36">
    <cfRule type="cellIs" dxfId="2365" priority="146" operator="equal">
      <formula>"a"</formula>
    </cfRule>
    <cfRule type="cellIs" dxfId="2364" priority="147" operator="equal">
      <formula>"k"</formula>
    </cfRule>
    <cfRule type="cellIs" dxfId="2363" priority="148" operator="equal">
      <formula>"u"</formula>
    </cfRule>
    <cfRule type="cellIs" dxfId="2362" priority="149" operator="equal">
      <formula>"f"</formula>
    </cfRule>
    <cfRule type="cellIs" dxfId="2361" priority="150" operator="equal">
      <formula>9</formula>
    </cfRule>
    <cfRule type="cellIs" dxfId="2360" priority="151" operator="equal">
      <formula>8</formula>
    </cfRule>
    <cfRule type="cellIs" dxfId="2359" priority="152" operator="equal">
      <formula>5</formula>
    </cfRule>
    <cfRule type="cellIs" dxfId="2358" priority="153" operator="equal">
      <formula>3</formula>
    </cfRule>
    <cfRule type="cellIs" dxfId="2357" priority="154" operator="equal">
      <formula>6</formula>
    </cfRule>
    <cfRule type="cellIs" dxfId="2356" priority="155" operator="equal">
      <formula>4</formula>
    </cfRule>
    <cfRule type="cellIs" dxfId="2355" priority="156" operator="equal">
      <formula>2</formula>
    </cfRule>
    <cfRule type="cellIs" dxfId="2354" priority="157" operator="equal">
      <formula>7</formula>
    </cfRule>
    <cfRule type="cellIs" dxfId="2353" priority="158" operator="equal">
      <formula>1</formula>
    </cfRule>
  </conditionalFormatting>
  <conditionalFormatting sqref="H5:H36">
    <cfRule type="cellIs" dxfId="2352" priority="133" operator="equal">
      <formula>"a"</formula>
    </cfRule>
    <cfRule type="cellIs" dxfId="2351" priority="134" operator="equal">
      <formula>"k"</formula>
    </cfRule>
    <cfRule type="cellIs" dxfId="2350" priority="135" operator="equal">
      <formula>"u"</formula>
    </cfRule>
    <cfRule type="cellIs" dxfId="2349" priority="136" operator="equal">
      <formula>"f"</formula>
    </cfRule>
    <cfRule type="cellIs" dxfId="2348" priority="137" operator="equal">
      <formula>9</formula>
    </cfRule>
    <cfRule type="cellIs" dxfId="2347" priority="138" operator="equal">
      <formula>8</formula>
    </cfRule>
    <cfRule type="cellIs" dxfId="2346" priority="139" operator="equal">
      <formula>5</formula>
    </cfRule>
    <cfRule type="cellIs" dxfId="2345" priority="140" operator="equal">
      <formula>3</formula>
    </cfRule>
    <cfRule type="cellIs" dxfId="2344" priority="141" operator="equal">
      <formula>6</formula>
    </cfRule>
    <cfRule type="cellIs" dxfId="2343" priority="142" operator="equal">
      <formula>4</formula>
    </cfRule>
    <cfRule type="cellIs" dxfId="2342" priority="143" operator="equal">
      <formula>2</formula>
    </cfRule>
    <cfRule type="cellIs" dxfId="2341" priority="144" operator="equal">
      <formula>7</formula>
    </cfRule>
    <cfRule type="cellIs" dxfId="2340" priority="145" operator="equal">
      <formula>1</formula>
    </cfRule>
  </conditionalFormatting>
  <conditionalFormatting sqref="K5:K36">
    <cfRule type="cellIs" dxfId="2339" priority="120" operator="equal">
      <formula>"a"</formula>
    </cfRule>
    <cfRule type="cellIs" dxfId="2338" priority="121" operator="equal">
      <formula>"k"</formula>
    </cfRule>
    <cfRule type="cellIs" dxfId="2337" priority="122" operator="equal">
      <formula>"u"</formula>
    </cfRule>
    <cfRule type="cellIs" dxfId="2336" priority="123" operator="equal">
      <formula>"f"</formula>
    </cfRule>
    <cfRule type="cellIs" dxfId="2335" priority="124" operator="equal">
      <formula>9</formula>
    </cfRule>
    <cfRule type="cellIs" dxfId="2334" priority="125" operator="equal">
      <formula>8</formula>
    </cfRule>
    <cfRule type="cellIs" dxfId="2333" priority="126" operator="equal">
      <formula>5</formula>
    </cfRule>
    <cfRule type="cellIs" dxfId="2332" priority="127" operator="equal">
      <formula>3</formula>
    </cfRule>
    <cfRule type="cellIs" dxfId="2331" priority="128" operator="equal">
      <formula>6</formula>
    </cfRule>
    <cfRule type="cellIs" dxfId="2330" priority="129" operator="equal">
      <formula>4</formula>
    </cfRule>
    <cfRule type="cellIs" dxfId="2329" priority="130" operator="equal">
      <formula>2</formula>
    </cfRule>
    <cfRule type="cellIs" dxfId="2328" priority="131" operator="equal">
      <formula>7</formula>
    </cfRule>
    <cfRule type="cellIs" dxfId="2327" priority="132" operator="equal">
      <formula>1</formula>
    </cfRule>
  </conditionalFormatting>
  <conditionalFormatting sqref="N5:N36">
    <cfRule type="cellIs" dxfId="2326" priority="107" operator="equal">
      <formula>"a"</formula>
    </cfRule>
    <cfRule type="cellIs" dxfId="2325" priority="108" operator="equal">
      <formula>"k"</formula>
    </cfRule>
    <cfRule type="cellIs" dxfId="2324" priority="109" operator="equal">
      <formula>"u"</formula>
    </cfRule>
    <cfRule type="cellIs" dxfId="2323" priority="110" operator="equal">
      <formula>"f"</formula>
    </cfRule>
    <cfRule type="cellIs" dxfId="2322" priority="111" operator="equal">
      <formula>9</formula>
    </cfRule>
    <cfRule type="cellIs" dxfId="2321" priority="112" operator="equal">
      <formula>8</formula>
    </cfRule>
    <cfRule type="cellIs" dxfId="2320" priority="113" operator="equal">
      <formula>5</formula>
    </cfRule>
    <cfRule type="cellIs" dxfId="2319" priority="114" operator="equal">
      <formula>3</formula>
    </cfRule>
    <cfRule type="cellIs" dxfId="2318" priority="115" operator="equal">
      <formula>6</formula>
    </cfRule>
    <cfRule type="cellIs" dxfId="2317" priority="116" operator="equal">
      <formula>4</formula>
    </cfRule>
    <cfRule type="cellIs" dxfId="2316" priority="117" operator="equal">
      <formula>2</formula>
    </cfRule>
    <cfRule type="cellIs" dxfId="2315" priority="118" operator="equal">
      <formula>7</formula>
    </cfRule>
    <cfRule type="cellIs" dxfId="2314" priority="119" operator="equal">
      <formula>1</formula>
    </cfRule>
  </conditionalFormatting>
  <conditionalFormatting sqref="Q5:Q36">
    <cfRule type="cellIs" dxfId="2313" priority="94" operator="equal">
      <formula>"a"</formula>
    </cfRule>
    <cfRule type="cellIs" dxfId="2312" priority="95" operator="equal">
      <formula>"k"</formula>
    </cfRule>
    <cfRule type="cellIs" dxfId="2311" priority="96" operator="equal">
      <formula>"u"</formula>
    </cfRule>
    <cfRule type="cellIs" dxfId="2310" priority="97" operator="equal">
      <formula>"f"</formula>
    </cfRule>
    <cfRule type="cellIs" dxfId="2309" priority="98" operator="equal">
      <formula>9</formula>
    </cfRule>
    <cfRule type="cellIs" dxfId="2308" priority="99" operator="equal">
      <formula>8</formula>
    </cfRule>
    <cfRule type="cellIs" dxfId="2307" priority="100" operator="equal">
      <formula>5</formula>
    </cfRule>
    <cfRule type="cellIs" dxfId="2306" priority="101" operator="equal">
      <formula>3</formula>
    </cfRule>
    <cfRule type="cellIs" dxfId="2305" priority="102" operator="equal">
      <formula>6</formula>
    </cfRule>
    <cfRule type="cellIs" dxfId="2304" priority="103" operator="equal">
      <formula>4</formula>
    </cfRule>
    <cfRule type="cellIs" dxfId="2303" priority="104" operator="equal">
      <formula>2</formula>
    </cfRule>
    <cfRule type="cellIs" dxfId="2302" priority="105" operator="equal">
      <formula>7</formula>
    </cfRule>
    <cfRule type="cellIs" dxfId="2301" priority="106" operator="equal">
      <formula>1</formula>
    </cfRule>
  </conditionalFormatting>
  <conditionalFormatting sqref="T5:T36">
    <cfRule type="cellIs" dxfId="2300" priority="81" operator="equal">
      <formula>"a"</formula>
    </cfRule>
    <cfRule type="cellIs" dxfId="2299" priority="82" operator="equal">
      <formula>"k"</formula>
    </cfRule>
    <cfRule type="cellIs" dxfId="2298" priority="83" operator="equal">
      <formula>"u"</formula>
    </cfRule>
    <cfRule type="cellIs" dxfId="2297" priority="84" operator="equal">
      <formula>"f"</formula>
    </cfRule>
    <cfRule type="cellIs" dxfId="2296" priority="85" operator="equal">
      <formula>9</formula>
    </cfRule>
    <cfRule type="cellIs" dxfId="2295" priority="86" operator="equal">
      <formula>8</formula>
    </cfRule>
    <cfRule type="cellIs" dxfId="2294" priority="87" operator="equal">
      <formula>5</formula>
    </cfRule>
    <cfRule type="cellIs" dxfId="2293" priority="88" operator="equal">
      <formula>3</formula>
    </cfRule>
    <cfRule type="cellIs" dxfId="2292" priority="89" operator="equal">
      <formula>6</formula>
    </cfRule>
    <cfRule type="cellIs" dxfId="2291" priority="90" operator="equal">
      <formula>4</formula>
    </cfRule>
    <cfRule type="cellIs" dxfId="2290" priority="91" operator="equal">
      <formula>2</formula>
    </cfRule>
    <cfRule type="cellIs" dxfId="2289" priority="92" operator="equal">
      <formula>7</formula>
    </cfRule>
    <cfRule type="cellIs" dxfId="2288" priority="93" operator="equal">
      <formula>1</formula>
    </cfRule>
  </conditionalFormatting>
  <conditionalFormatting sqref="F5:F36">
    <cfRule type="expression" dxfId="2287" priority="68">
      <formula>COUNTIF(E5,"a")</formula>
    </cfRule>
    <cfRule type="expression" dxfId="2286" priority="69">
      <formula>COUNTIF(E5,"9")</formula>
    </cfRule>
    <cfRule type="expression" dxfId="2285" priority="70">
      <formula>COUNTIF(E5,"k")</formula>
    </cfRule>
    <cfRule type="expression" dxfId="2284" priority="71">
      <formula>COUNTIF(E5,"u")</formula>
    </cfRule>
    <cfRule type="expression" dxfId="2283" priority="72">
      <formula>COUNTIF(E5,"f")</formula>
    </cfRule>
    <cfRule type="expression" dxfId="2282" priority="73">
      <formula>COUNTIF(E5,"8")</formula>
    </cfRule>
    <cfRule type="expression" dxfId="2281" priority="74">
      <formula>COUNTIF(E5,"7")</formula>
    </cfRule>
    <cfRule type="expression" dxfId="2280" priority="75">
      <formula>COUNTIF(E5,"3")</formula>
    </cfRule>
    <cfRule type="expression" dxfId="2279" priority="77">
      <formula>COUNTIF(E5,"5")</formula>
    </cfRule>
    <cfRule type="expression" dxfId="2278" priority="78">
      <formula>COUNTIF(E5,"2")</formula>
    </cfRule>
    <cfRule type="expression" dxfId="2277" priority="79">
      <formula>COUNTIF(E5,"4")</formula>
    </cfRule>
    <cfRule type="expression" dxfId="2276" priority="80">
      <formula>COUNTIF(E5,"1")</formula>
    </cfRule>
  </conditionalFormatting>
  <conditionalFormatting sqref="F5:F36">
    <cfRule type="expression" dxfId="2275" priority="76">
      <formula>COUNTIF(E5,"6")</formula>
    </cfRule>
  </conditionalFormatting>
  <conditionalFormatting sqref="I5:I36">
    <cfRule type="expression" dxfId="2274" priority="55">
      <formula>COUNTIF(H5,"a")</formula>
    </cfRule>
    <cfRule type="expression" dxfId="2273" priority="56">
      <formula>COUNTIF(H5,"9")</formula>
    </cfRule>
    <cfRule type="expression" dxfId="2272" priority="57">
      <formula>COUNTIF(H5,"k")</formula>
    </cfRule>
    <cfRule type="expression" dxfId="2271" priority="58">
      <formula>COUNTIF(H5,"u")</formula>
    </cfRule>
    <cfRule type="expression" dxfId="2270" priority="59">
      <formula>COUNTIF(H5,"f")</formula>
    </cfRule>
    <cfRule type="expression" dxfId="2269" priority="60">
      <formula>COUNTIF(H5,"8")</formula>
    </cfRule>
    <cfRule type="expression" dxfId="2268" priority="61">
      <formula>COUNTIF(H5,"7")</formula>
    </cfRule>
    <cfRule type="expression" dxfId="2267" priority="62">
      <formula>COUNTIF(H5,"3")</formula>
    </cfRule>
    <cfRule type="expression" dxfId="2266" priority="64">
      <formula>COUNTIF(H5,"5")</formula>
    </cfRule>
    <cfRule type="expression" dxfId="2265" priority="65">
      <formula>COUNTIF(H5,"2")</formula>
    </cfRule>
    <cfRule type="expression" dxfId="2264" priority="66">
      <formula>COUNTIF(H5,"4")</formula>
    </cfRule>
    <cfRule type="expression" dxfId="2263" priority="67">
      <formula>COUNTIF(H5,"1")</formula>
    </cfRule>
  </conditionalFormatting>
  <conditionalFormatting sqref="I5:I36">
    <cfRule type="expression" dxfId="2262" priority="63">
      <formula>COUNTIF(H5,"6")</formula>
    </cfRule>
  </conditionalFormatting>
  <conditionalFormatting sqref="L5:L36">
    <cfRule type="expression" dxfId="2261" priority="42">
      <formula>COUNTIF(K5,"a")</formula>
    </cfRule>
    <cfRule type="expression" dxfId="2260" priority="43">
      <formula>COUNTIF(K5,"9")</formula>
    </cfRule>
    <cfRule type="expression" dxfId="2259" priority="44">
      <formula>COUNTIF(K5,"k")</formula>
    </cfRule>
    <cfRule type="expression" dxfId="2258" priority="45">
      <formula>COUNTIF(K5,"u")</formula>
    </cfRule>
    <cfRule type="expression" dxfId="2257" priority="46">
      <formula>COUNTIF(K5,"f")</formula>
    </cfRule>
    <cfRule type="expression" dxfId="2256" priority="47">
      <formula>COUNTIF(K5,"8")</formula>
    </cfRule>
    <cfRule type="expression" dxfId="2255" priority="48">
      <formula>COUNTIF(K5,"7")</formula>
    </cfRule>
    <cfRule type="expression" dxfId="2254" priority="49">
      <formula>COUNTIF(K5,"3")</formula>
    </cfRule>
    <cfRule type="expression" dxfId="2253" priority="51">
      <formula>COUNTIF(K5,"5")</formula>
    </cfRule>
    <cfRule type="expression" dxfId="2252" priority="52">
      <formula>COUNTIF(K5,"2")</formula>
    </cfRule>
    <cfRule type="expression" dxfId="2251" priority="53">
      <formula>COUNTIF(K5,"4")</formula>
    </cfRule>
    <cfRule type="expression" dxfId="2250" priority="54">
      <formula>COUNTIF(K5,"1")</formula>
    </cfRule>
  </conditionalFormatting>
  <conditionalFormatting sqref="L5:L36">
    <cfRule type="expression" dxfId="2249" priority="50">
      <formula>COUNTIF(K5,"6")</formula>
    </cfRule>
  </conditionalFormatting>
  <conditionalFormatting sqref="O5:O36">
    <cfRule type="expression" dxfId="2248" priority="29">
      <formula>COUNTIF(N5,"a")</formula>
    </cfRule>
    <cfRule type="expression" dxfId="2247" priority="30">
      <formula>COUNTIF(N5,"9")</formula>
    </cfRule>
    <cfRule type="expression" dxfId="2246" priority="31">
      <formula>COUNTIF(N5,"k")</formula>
    </cfRule>
    <cfRule type="expression" dxfId="2245" priority="32">
      <formula>COUNTIF(N5,"u")</formula>
    </cfRule>
    <cfRule type="expression" dxfId="2244" priority="33">
      <formula>COUNTIF(N5,"f")</formula>
    </cfRule>
    <cfRule type="expression" dxfId="2243" priority="34">
      <formula>COUNTIF(N5,"8")</formula>
    </cfRule>
    <cfRule type="expression" dxfId="2242" priority="35">
      <formula>COUNTIF(N5,"7")</formula>
    </cfRule>
    <cfRule type="expression" dxfId="2241" priority="36">
      <formula>COUNTIF(N5,"3")</formula>
    </cfRule>
    <cfRule type="expression" dxfId="2240" priority="38">
      <formula>COUNTIF(N5,"5")</formula>
    </cfRule>
    <cfRule type="expression" dxfId="2239" priority="39">
      <formula>COUNTIF(N5,"2")</formula>
    </cfRule>
    <cfRule type="expression" dxfId="2238" priority="40">
      <formula>COUNTIF(N5,"4")</formula>
    </cfRule>
    <cfRule type="expression" dxfId="2237" priority="41">
      <formula>COUNTIF(N5,"1")</formula>
    </cfRule>
  </conditionalFormatting>
  <conditionalFormatting sqref="O5:O36">
    <cfRule type="expression" dxfId="2236" priority="37">
      <formula>COUNTIF(N5,"6")</formula>
    </cfRule>
  </conditionalFormatting>
  <conditionalFormatting sqref="R5:R36">
    <cfRule type="expression" dxfId="2235" priority="16">
      <formula>COUNTIF(Q5,"a")</formula>
    </cfRule>
    <cfRule type="expression" dxfId="2234" priority="17">
      <formula>COUNTIF(Q5,"9")</formula>
    </cfRule>
    <cfRule type="expression" dxfId="2233" priority="18">
      <formula>COUNTIF(Q5,"k")</formula>
    </cfRule>
    <cfRule type="expression" dxfId="2232" priority="19">
      <formula>COUNTIF(Q5,"u")</formula>
    </cfRule>
    <cfRule type="expression" dxfId="2231" priority="20">
      <formula>COUNTIF(Q5,"f")</formula>
    </cfRule>
    <cfRule type="expression" dxfId="2230" priority="21">
      <formula>COUNTIF(Q5,"8")</formula>
    </cfRule>
    <cfRule type="expression" dxfId="2229" priority="22">
      <formula>COUNTIF(Q5,"7")</formula>
    </cfRule>
    <cfRule type="expression" dxfId="2228" priority="23">
      <formula>COUNTIF(Q5,"3")</formula>
    </cfRule>
    <cfRule type="expression" dxfId="2227" priority="25">
      <formula>COUNTIF(Q5,"5")</formula>
    </cfRule>
    <cfRule type="expression" dxfId="2226" priority="26">
      <formula>COUNTIF(Q5,"2")</formula>
    </cfRule>
    <cfRule type="expression" dxfId="2225" priority="27">
      <formula>COUNTIF(Q5,"4")</formula>
    </cfRule>
    <cfRule type="expression" dxfId="2224" priority="28">
      <formula>COUNTIF(Q5,"1")</formula>
    </cfRule>
  </conditionalFormatting>
  <conditionalFormatting sqref="R5:R36">
    <cfRule type="expression" dxfId="2223" priority="24">
      <formula>COUNTIF(Q5,"6")</formula>
    </cfRule>
  </conditionalFormatting>
  <conditionalFormatting sqref="U5:U36">
    <cfRule type="expression" dxfId="2222" priority="3">
      <formula>COUNTIF(T5,"a")</formula>
    </cfRule>
    <cfRule type="expression" dxfId="2221" priority="4">
      <formula>COUNTIF(T5,"9")</formula>
    </cfRule>
    <cfRule type="expression" dxfId="2220" priority="5">
      <formula>COUNTIF(T5,"k")</formula>
    </cfRule>
    <cfRule type="expression" dxfId="2219" priority="6">
      <formula>COUNTIF(T5,"u")</formula>
    </cfRule>
    <cfRule type="expression" dxfId="2218" priority="7">
      <formula>COUNTIF(T5,"f")</formula>
    </cfRule>
    <cfRule type="expression" dxfId="2217" priority="8">
      <formula>COUNTIF(T5,"8")</formula>
    </cfRule>
    <cfRule type="expression" dxfId="2216" priority="9">
      <formula>COUNTIF(T5,"7")</formula>
    </cfRule>
    <cfRule type="expression" dxfId="2215" priority="10">
      <formula>COUNTIF(T5,"3")</formula>
    </cfRule>
    <cfRule type="expression" dxfId="2214" priority="12">
      <formula>COUNTIF(T5,"5")</formula>
    </cfRule>
    <cfRule type="expression" dxfId="2213" priority="13">
      <formula>COUNTIF(T5,"2")</formula>
    </cfRule>
    <cfRule type="expression" dxfId="2212" priority="14">
      <formula>COUNTIF(T5,"4")</formula>
    </cfRule>
    <cfRule type="expression" dxfId="2211" priority="15">
      <formula>COUNTIF(T5,"1")</formula>
    </cfRule>
  </conditionalFormatting>
  <conditionalFormatting sqref="U5:U36">
    <cfRule type="expression" dxfId="2210" priority="11">
      <formula>COUNTIF(T5,"6")</formula>
    </cfRule>
  </conditionalFormatting>
  <conditionalFormatting sqref="V32">
    <cfRule type="cellIs" dxfId="2209" priority="1" operator="lessThan">
      <formula>0</formula>
    </cfRule>
    <cfRule type="cellIs" dxfId="220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9E4762D-6592-794E-85FC-A1953FEF89E2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18E5C-79DC-1640-BABD-93E99DA4F517}">
  <sheetPr codeName="Tabelle8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42</v>
      </c>
      <c r="Q1" s="176"/>
      <c r="R1" s="79">
        <f>DATE(V1,1,7*P1-3-WEEKDAY(DATE(V1,,),3))</f>
        <v>45579</v>
      </c>
      <c r="S1" s="80" t="s">
        <v>1</v>
      </c>
      <c r="T1" s="177">
        <f>DATE(V1,1,7*P1+3-WEEKDAY(DATE(V1,,),3))</f>
        <v>45585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45579</v>
      </c>
      <c r="B2" s="178"/>
      <c r="C2" s="178"/>
      <c r="D2" s="178">
        <f>A2+1</f>
        <v>45580</v>
      </c>
      <c r="E2" s="179"/>
      <c r="F2" s="179"/>
      <c r="G2" s="178">
        <f>D2+1</f>
        <v>45581</v>
      </c>
      <c r="H2" s="179"/>
      <c r="I2" s="179"/>
      <c r="J2" s="178">
        <f>G2+1</f>
        <v>45582</v>
      </c>
      <c r="K2" s="179"/>
      <c r="L2" s="179"/>
      <c r="M2" s="178">
        <f>J2+1</f>
        <v>45583</v>
      </c>
      <c r="N2" s="179"/>
      <c r="O2" s="179"/>
      <c r="P2" s="178">
        <f>M2+1</f>
        <v>45584</v>
      </c>
      <c r="Q2" s="179"/>
      <c r="R2" s="179"/>
      <c r="S2" s="178">
        <f>P2+1</f>
        <v>45585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45579</v>
      </c>
      <c r="B3" s="168"/>
      <c r="C3" s="168"/>
      <c r="D3" s="168">
        <f>A3+1</f>
        <v>45580</v>
      </c>
      <c r="E3" s="168"/>
      <c r="F3" s="168"/>
      <c r="G3" s="168">
        <f>D3+1</f>
        <v>45581</v>
      </c>
      <c r="H3" s="168"/>
      <c r="I3" s="168"/>
      <c r="J3" s="168">
        <f>G3+1</f>
        <v>45582</v>
      </c>
      <c r="K3" s="168"/>
      <c r="L3" s="168"/>
      <c r="M3" s="168">
        <f>J3+1</f>
        <v>45583</v>
      </c>
      <c r="N3" s="168"/>
      <c r="O3" s="168"/>
      <c r="P3" s="168">
        <f>M3+1</f>
        <v>45584</v>
      </c>
      <c r="Q3" s="168"/>
      <c r="R3" s="168"/>
      <c r="S3" s="168">
        <f>P3+1</f>
        <v>45585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45579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45580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45581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45582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45583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45584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45585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41'!V32</f>
        <v>-1640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-1680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207" priority="159">
      <formula>COUNTIF(B5,"a")</formula>
    </cfRule>
    <cfRule type="expression" dxfId="2206" priority="161">
      <formula>COUNTIF(B5,"9")</formula>
    </cfRule>
    <cfRule type="expression" dxfId="2205" priority="163">
      <formula>COUNTIF(B5,"k")</formula>
    </cfRule>
    <cfRule type="expression" dxfId="2204" priority="164">
      <formula>COUNTIF(B5,"u")</formula>
    </cfRule>
    <cfRule type="expression" dxfId="2203" priority="167">
      <formula>COUNTIF(B5,"f")</formula>
    </cfRule>
    <cfRule type="expression" dxfId="2202" priority="168">
      <formula>COUNTIF(B5,"8")</formula>
    </cfRule>
    <cfRule type="expression" dxfId="2201" priority="169">
      <formula>COUNTIF(B5,"7")</formula>
    </cfRule>
    <cfRule type="expression" dxfId="2200" priority="170">
      <formula>COUNTIF(B5,"3")</formula>
    </cfRule>
    <cfRule type="expression" dxfId="2199" priority="181">
      <formula>COUNTIF(B5,"5")</formula>
    </cfRule>
    <cfRule type="expression" dxfId="2198" priority="182">
      <formula>COUNTIF(B5,"2")</formula>
    </cfRule>
    <cfRule type="expression" dxfId="2197" priority="183">
      <formula>COUNTIF(B5,"4")</formula>
    </cfRule>
    <cfRule type="expression" dxfId="2196" priority="184">
      <formula>COUNTIF(B5,"1")</formula>
    </cfRule>
  </conditionalFormatting>
  <conditionalFormatting sqref="B5:B36">
    <cfRule type="cellIs" dxfId="2195" priority="160" operator="equal">
      <formula>"a"</formula>
    </cfRule>
    <cfRule type="cellIs" dxfId="2194" priority="162" operator="equal">
      <formula>"k"</formula>
    </cfRule>
    <cfRule type="cellIs" dxfId="2193" priority="165" operator="equal">
      <formula>"u"</formula>
    </cfRule>
    <cfRule type="cellIs" dxfId="2192" priority="166" operator="equal">
      <formula>"f"</formula>
    </cfRule>
    <cfRule type="cellIs" dxfId="2191" priority="171" operator="equal">
      <formula>9</formula>
    </cfRule>
    <cfRule type="cellIs" dxfId="2190" priority="172" operator="equal">
      <formula>8</formula>
    </cfRule>
    <cfRule type="cellIs" dxfId="2189" priority="173" operator="equal">
      <formula>5</formula>
    </cfRule>
    <cfRule type="cellIs" dxfId="2188" priority="174" operator="equal">
      <formula>3</formula>
    </cfRule>
    <cfRule type="cellIs" dxfId="2187" priority="176" operator="equal">
      <formula>6</formula>
    </cfRule>
    <cfRule type="cellIs" dxfId="2186" priority="177" operator="equal">
      <formula>4</formula>
    </cfRule>
    <cfRule type="cellIs" dxfId="2185" priority="178" operator="equal">
      <formula>2</formula>
    </cfRule>
    <cfRule type="cellIs" dxfId="2184" priority="179" operator="equal">
      <formula>7</formula>
    </cfRule>
    <cfRule type="cellIs" dxfId="2183" priority="180" operator="equal">
      <formula>1</formula>
    </cfRule>
  </conditionalFormatting>
  <conditionalFormatting sqref="C5:C36">
    <cfRule type="expression" dxfId="2182" priority="175">
      <formula>COUNTIF(B5,"6")</formula>
    </cfRule>
  </conditionalFormatting>
  <conditionalFormatting sqref="E5:E36">
    <cfRule type="cellIs" dxfId="2181" priority="146" operator="equal">
      <formula>"a"</formula>
    </cfRule>
    <cfRule type="cellIs" dxfId="2180" priority="147" operator="equal">
      <formula>"k"</formula>
    </cfRule>
    <cfRule type="cellIs" dxfId="2179" priority="148" operator="equal">
      <formula>"u"</formula>
    </cfRule>
    <cfRule type="cellIs" dxfId="2178" priority="149" operator="equal">
      <formula>"f"</formula>
    </cfRule>
    <cfRule type="cellIs" dxfId="2177" priority="150" operator="equal">
      <formula>9</formula>
    </cfRule>
    <cfRule type="cellIs" dxfId="2176" priority="151" operator="equal">
      <formula>8</formula>
    </cfRule>
    <cfRule type="cellIs" dxfId="2175" priority="152" operator="equal">
      <formula>5</formula>
    </cfRule>
    <cfRule type="cellIs" dxfId="2174" priority="153" operator="equal">
      <formula>3</formula>
    </cfRule>
    <cfRule type="cellIs" dxfId="2173" priority="154" operator="equal">
      <formula>6</formula>
    </cfRule>
    <cfRule type="cellIs" dxfId="2172" priority="155" operator="equal">
      <formula>4</formula>
    </cfRule>
    <cfRule type="cellIs" dxfId="2171" priority="156" operator="equal">
      <formula>2</formula>
    </cfRule>
    <cfRule type="cellIs" dxfId="2170" priority="157" operator="equal">
      <formula>7</formula>
    </cfRule>
    <cfRule type="cellIs" dxfId="2169" priority="158" operator="equal">
      <formula>1</formula>
    </cfRule>
  </conditionalFormatting>
  <conditionalFormatting sqref="H5:H36">
    <cfRule type="cellIs" dxfId="2168" priority="133" operator="equal">
      <formula>"a"</formula>
    </cfRule>
    <cfRule type="cellIs" dxfId="2167" priority="134" operator="equal">
      <formula>"k"</formula>
    </cfRule>
    <cfRule type="cellIs" dxfId="2166" priority="135" operator="equal">
      <formula>"u"</formula>
    </cfRule>
    <cfRule type="cellIs" dxfId="2165" priority="136" operator="equal">
      <formula>"f"</formula>
    </cfRule>
    <cfRule type="cellIs" dxfId="2164" priority="137" operator="equal">
      <formula>9</formula>
    </cfRule>
    <cfRule type="cellIs" dxfId="2163" priority="138" operator="equal">
      <formula>8</formula>
    </cfRule>
    <cfRule type="cellIs" dxfId="2162" priority="139" operator="equal">
      <formula>5</formula>
    </cfRule>
    <cfRule type="cellIs" dxfId="2161" priority="140" operator="equal">
      <formula>3</formula>
    </cfRule>
    <cfRule type="cellIs" dxfId="2160" priority="141" operator="equal">
      <formula>6</formula>
    </cfRule>
    <cfRule type="cellIs" dxfId="2159" priority="142" operator="equal">
      <formula>4</formula>
    </cfRule>
    <cfRule type="cellIs" dxfId="2158" priority="143" operator="equal">
      <formula>2</formula>
    </cfRule>
    <cfRule type="cellIs" dxfId="2157" priority="144" operator="equal">
      <formula>7</formula>
    </cfRule>
    <cfRule type="cellIs" dxfId="2156" priority="145" operator="equal">
      <formula>1</formula>
    </cfRule>
  </conditionalFormatting>
  <conditionalFormatting sqref="K5:K36">
    <cfRule type="cellIs" dxfId="2155" priority="120" operator="equal">
      <formula>"a"</formula>
    </cfRule>
    <cfRule type="cellIs" dxfId="2154" priority="121" operator="equal">
      <formula>"k"</formula>
    </cfRule>
    <cfRule type="cellIs" dxfId="2153" priority="122" operator="equal">
      <formula>"u"</formula>
    </cfRule>
    <cfRule type="cellIs" dxfId="2152" priority="123" operator="equal">
      <formula>"f"</formula>
    </cfRule>
    <cfRule type="cellIs" dxfId="2151" priority="124" operator="equal">
      <formula>9</formula>
    </cfRule>
    <cfRule type="cellIs" dxfId="2150" priority="125" operator="equal">
      <formula>8</formula>
    </cfRule>
    <cfRule type="cellIs" dxfId="2149" priority="126" operator="equal">
      <formula>5</formula>
    </cfRule>
    <cfRule type="cellIs" dxfId="2148" priority="127" operator="equal">
      <formula>3</formula>
    </cfRule>
    <cfRule type="cellIs" dxfId="2147" priority="128" operator="equal">
      <formula>6</formula>
    </cfRule>
    <cfRule type="cellIs" dxfId="2146" priority="129" operator="equal">
      <formula>4</formula>
    </cfRule>
    <cfRule type="cellIs" dxfId="2145" priority="130" operator="equal">
      <formula>2</formula>
    </cfRule>
    <cfRule type="cellIs" dxfId="2144" priority="131" operator="equal">
      <formula>7</formula>
    </cfRule>
    <cfRule type="cellIs" dxfId="2143" priority="132" operator="equal">
      <formula>1</formula>
    </cfRule>
  </conditionalFormatting>
  <conditionalFormatting sqref="N5:N36">
    <cfRule type="cellIs" dxfId="2142" priority="107" operator="equal">
      <formula>"a"</formula>
    </cfRule>
    <cfRule type="cellIs" dxfId="2141" priority="108" operator="equal">
      <formula>"k"</formula>
    </cfRule>
    <cfRule type="cellIs" dxfId="2140" priority="109" operator="equal">
      <formula>"u"</formula>
    </cfRule>
    <cfRule type="cellIs" dxfId="2139" priority="110" operator="equal">
      <formula>"f"</formula>
    </cfRule>
    <cfRule type="cellIs" dxfId="2138" priority="111" operator="equal">
      <formula>9</formula>
    </cfRule>
    <cfRule type="cellIs" dxfId="2137" priority="112" operator="equal">
      <formula>8</formula>
    </cfRule>
    <cfRule type="cellIs" dxfId="2136" priority="113" operator="equal">
      <formula>5</formula>
    </cfRule>
    <cfRule type="cellIs" dxfId="2135" priority="114" operator="equal">
      <formula>3</formula>
    </cfRule>
    <cfRule type="cellIs" dxfId="2134" priority="115" operator="equal">
      <formula>6</formula>
    </cfRule>
    <cfRule type="cellIs" dxfId="2133" priority="116" operator="equal">
      <formula>4</formula>
    </cfRule>
    <cfRule type="cellIs" dxfId="2132" priority="117" operator="equal">
      <formula>2</formula>
    </cfRule>
    <cfRule type="cellIs" dxfId="2131" priority="118" operator="equal">
      <formula>7</formula>
    </cfRule>
    <cfRule type="cellIs" dxfId="2130" priority="119" operator="equal">
      <formula>1</formula>
    </cfRule>
  </conditionalFormatting>
  <conditionalFormatting sqref="Q5:Q36">
    <cfRule type="cellIs" dxfId="2129" priority="94" operator="equal">
      <formula>"a"</formula>
    </cfRule>
    <cfRule type="cellIs" dxfId="2128" priority="95" operator="equal">
      <formula>"k"</formula>
    </cfRule>
    <cfRule type="cellIs" dxfId="2127" priority="96" operator="equal">
      <formula>"u"</formula>
    </cfRule>
    <cfRule type="cellIs" dxfId="2126" priority="97" operator="equal">
      <formula>"f"</formula>
    </cfRule>
    <cfRule type="cellIs" dxfId="2125" priority="98" operator="equal">
      <formula>9</formula>
    </cfRule>
    <cfRule type="cellIs" dxfId="2124" priority="99" operator="equal">
      <formula>8</formula>
    </cfRule>
    <cfRule type="cellIs" dxfId="2123" priority="100" operator="equal">
      <formula>5</formula>
    </cfRule>
    <cfRule type="cellIs" dxfId="2122" priority="101" operator="equal">
      <formula>3</formula>
    </cfRule>
    <cfRule type="cellIs" dxfId="2121" priority="102" operator="equal">
      <formula>6</formula>
    </cfRule>
    <cfRule type="cellIs" dxfId="2120" priority="103" operator="equal">
      <formula>4</formula>
    </cfRule>
    <cfRule type="cellIs" dxfId="2119" priority="104" operator="equal">
      <formula>2</formula>
    </cfRule>
    <cfRule type="cellIs" dxfId="2118" priority="105" operator="equal">
      <formula>7</formula>
    </cfRule>
    <cfRule type="cellIs" dxfId="2117" priority="106" operator="equal">
      <formula>1</formula>
    </cfRule>
  </conditionalFormatting>
  <conditionalFormatting sqref="T5:T36">
    <cfRule type="cellIs" dxfId="2116" priority="81" operator="equal">
      <formula>"a"</formula>
    </cfRule>
    <cfRule type="cellIs" dxfId="2115" priority="82" operator="equal">
      <formula>"k"</formula>
    </cfRule>
    <cfRule type="cellIs" dxfId="2114" priority="83" operator="equal">
      <formula>"u"</formula>
    </cfRule>
    <cfRule type="cellIs" dxfId="2113" priority="84" operator="equal">
      <formula>"f"</formula>
    </cfRule>
    <cfRule type="cellIs" dxfId="2112" priority="85" operator="equal">
      <formula>9</formula>
    </cfRule>
    <cfRule type="cellIs" dxfId="2111" priority="86" operator="equal">
      <formula>8</formula>
    </cfRule>
    <cfRule type="cellIs" dxfId="2110" priority="87" operator="equal">
      <formula>5</formula>
    </cfRule>
    <cfRule type="cellIs" dxfId="2109" priority="88" operator="equal">
      <formula>3</formula>
    </cfRule>
    <cfRule type="cellIs" dxfId="2108" priority="89" operator="equal">
      <formula>6</formula>
    </cfRule>
    <cfRule type="cellIs" dxfId="2107" priority="90" operator="equal">
      <formula>4</formula>
    </cfRule>
    <cfRule type="cellIs" dxfId="2106" priority="91" operator="equal">
      <formula>2</formula>
    </cfRule>
    <cfRule type="cellIs" dxfId="2105" priority="92" operator="equal">
      <formula>7</formula>
    </cfRule>
    <cfRule type="cellIs" dxfId="2104" priority="93" operator="equal">
      <formula>1</formula>
    </cfRule>
  </conditionalFormatting>
  <conditionalFormatting sqref="F5:F36">
    <cfRule type="expression" dxfId="2103" priority="68">
      <formula>COUNTIF(E5,"a")</formula>
    </cfRule>
    <cfRule type="expression" dxfId="2102" priority="69">
      <formula>COUNTIF(E5,"9")</formula>
    </cfRule>
    <cfRule type="expression" dxfId="2101" priority="70">
      <formula>COUNTIF(E5,"k")</formula>
    </cfRule>
    <cfRule type="expression" dxfId="2100" priority="71">
      <formula>COUNTIF(E5,"u")</formula>
    </cfRule>
    <cfRule type="expression" dxfId="2099" priority="72">
      <formula>COUNTIF(E5,"f")</formula>
    </cfRule>
    <cfRule type="expression" dxfId="2098" priority="73">
      <formula>COUNTIF(E5,"8")</formula>
    </cfRule>
    <cfRule type="expression" dxfId="2097" priority="74">
      <formula>COUNTIF(E5,"7")</formula>
    </cfRule>
    <cfRule type="expression" dxfId="2096" priority="75">
      <formula>COUNTIF(E5,"3")</formula>
    </cfRule>
    <cfRule type="expression" dxfId="2095" priority="77">
      <formula>COUNTIF(E5,"5")</formula>
    </cfRule>
    <cfRule type="expression" dxfId="2094" priority="78">
      <formula>COUNTIF(E5,"2")</formula>
    </cfRule>
    <cfRule type="expression" dxfId="2093" priority="79">
      <formula>COUNTIF(E5,"4")</formula>
    </cfRule>
    <cfRule type="expression" dxfId="2092" priority="80">
      <formula>COUNTIF(E5,"1")</formula>
    </cfRule>
  </conditionalFormatting>
  <conditionalFormatting sqref="F5:F36">
    <cfRule type="expression" dxfId="2091" priority="76">
      <formula>COUNTIF(E5,"6")</formula>
    </cfRule>
  </conditionalFormatting>
  <conditionalFormatting sqref="I5:I36">
    <cfRule type="expression" dxfId="2090" priority="55">
      <formula>COUNTIF(H5,"a")</formula>
    </cfRule>
    <cfRule type="expression" dxfId="2089" priority="56">
      <formula>COUNTIF(H5,"9")</formula>
    </cfRule>
    <cfRule type="expression" dxfId="2088" priority="57">
      <formula>COUNTIF(H5,"k")</formula>
    </cfRule>
    <cfRule type="expression" dxfId="2087" priority="58">
      <formula>COUNTIF(H5,"u")</formula>
    </cfRule>
    <cfRule type="expression" dxfId="2086" priority="59">
      <formula>COUNTIF(H5,"f")</formula>
    </cfRule>
    <cfRule type="expression" dxfId="2085" priority="60">
      <formula>COUNTIF(H5,"8")</formula>
    </cfRule>
    <cfRule type="expression" dxfId="2084" priority="61">
      <formula>COUNTIF(H5,"7")</formula>
    </cfRule>
    <cfRule type="expression" dxfId="2083" priority="62">
      <formula>COUNTIF(H5,"3")</formula>
    </cfRule>
    <cfRule type="expression" dxfId="2082" priority="64">
      <formula>COUNTIF(H5,"5")</formula>
    </cfRule>
    <cfRule type="expression" dxfId="2081" priority="65">
      <formula>COUNTIF(H5,"2")</formula>
    </cfRule>
    <cfRule type="expression" dxfId="2080" priority="66">
      <formula>COUNTIF(H5,"4")</formula>
    </cfRule>
    <cfRule type="expression" dxfId="2079" priority="67">
      <formula>COUNTIF(H5,"1")</formula>
    </cfRule>
  </conditionalFormatting>
  <conditionalFormatting sqref="I5:I36">
    <cfRule type="expression" dxfId="2078" priority="63">
      <formula>COUNTIF(H5,"6")</formula>
    </cfRule>
  </conditionalFormatting>
  <conditionalFormatting sqref="L5:L36">
    <cfRule type="expression" dxfId="2077" priority="42">
      <formula>COUNTIF(K5,"a")</formula>
    </cfRule>
    <cfRule type="expression" dxfId="2076" priority="43">
      <formula>COUNTIF(K5,"9")</formula>
    </cfRule>
    <cfRule type="expression" dxfId="2075" priority="44">
      <formula>COUNTIF(K5,"k")</formula>
    </cfRule>
    <cfRule type="expression" dxfId="2074" priority="45">
      <formula>COUNTIF(K5,"u")</formula>
    </cfRule>
    <cfRule type="expression" dxfId="2073" priority="46">
      <formula>COUNTIF(K5,"f")</formula>
    </cfRule>
    <cfRule type="expression" dxfId="2072" priority="47">
      <formula>COUNTIF(K5,"8")</formula>
    </cfRule>
    <cfRule type="expression" dxfId="2071" priority="48">
      <formula>COUNTIF(K5,"7")</formula>
    </cfRule>
    <cfRule type="expression" dxfId="2070" priority="49">
      <formula>COUNTIF(K5,"3")</formula>
    </cfRule>
    <cfRule type="expression" dxfId="2069" priority="51">
      <formula>COUNTIF(K5,"5")</formula>
    </cfRule>
    <cfRule type="expression" dxfId="2068" priority="52">
      <formula>COUNTIF(K5,"2")</formula>
    </cfRule>
    <cfRule type="expression" dxfId="2067" priority="53">
      <formula>COUNTIF(K5,"4")</formula>
    </cfRule>
    <cfRule type="expression" dxfId="2066" priority="54">
      <formula>COUNTIF(K5,"1")</formula>
    </cfRule>
  </conditionalFormatting>
  <conditionalFormatting sqref="L5:L36">
    <cfRule type="expression" dxfId="2065" priority="50">
      <formula>COUNTIF(K5,"6")</formula>
    </cfRule>
  </conditionalFormatting>
  <conditionalFormatting sqref="O5:O36">
    <cfRule type="expression" dxfId="2064" priority="29">
      <formula>COUNTIF(N5,"a")</formula>
    </cfRule>
    <cfRule type="expression" dxfId="2063" priority="30">
      <formula>COUNTIF(N5,"9")</formula>
    </cfRule>
    <cfRule type="expression" dxfId="2062" priority="31">
      <formula>COUNTIF(N5,"k")</formula>
    </cfRule>
    <cfRule type="expression" dxfId="2061" priority="32">
      <formula>COUNTIF(N5,"u")</formula>
    </cfRule>
    <cfRule type="expression" dxfId="2060" priority="33">
      <formula>COUNTIF(N5,"f")</formula>
    </cfRule>
    <cfRule type="expression" dxfId="2059" priority="34">
      <formula>COUNTIF(N5,"8")</formula>
    </cfRule>
    <cfRule type="expression" dxfId="2058" priority="35">
      <formula>COUNTIF(N5,"7")</formula>
    </cfRule>
    <cfRule type="expression" dxfId="2057" priority="36">
      <formula>COUNTIF(N5,"3")</formula>
    </cfRule>
    <cfRule type="expression" dxfId="2056" priority="38">
      <formula>COUNTIF(N5,"5")</formula>
    </cfRule>
    <cfRule type="expression" dxfId="2055" priority="39">
      <formula>COUNTIF(N5,"2")</formula>
    </cfRule>
    <cfRule type="expression" dxfId="2054" priority="40">
      <formula>COUNTIF(N5,"4")</formula>
    </cfRule>
    <cfRule type="expression" dxfId="2053" priority="41">
      <formula>COUNTIF(N5,"1")</formula>
    </cfRule>
  </conditionalFormatting>
  <conditionalFormatting sqref="O5:O36">
    <cfRule type="expression" dxfId="2052" priority="37">
      <formula>COUNTIF(N5,"6")</formula>
    </cfRule>
  </conditionalFormatting>
  <conditionalFormatting sqref="R5:R36">
    <cfRule type="expression" dxfId="2051" priority="16">
      <formula>COUNTIF(Q5,"a")</formula>
    </cfRule>
    <cfRule type="expression" dxfId="2050" priority="17">
      <formula>COUNTIF(Q5,"9")</formula>
    </cfRule>
    <cfRule type="expression" dxfId="2049" priority="18">
      <formula>COUNTIF(Q5,"k")</formula>
    </cfRule>
    <cfRule type="expression" dxfId="2048" priority="19">
      <formula>COUNTIF(Q5,"u")</formula>
    </cfRule>
    <cfRule type="expression" dxfId="2047" priority="20">
      <formula>COUNTIF(Q5,"f")</formula>
    </cfRule>
    <cfRule type="expression" dxfId="2046" priority="21">
      <formula>COUNTIF(Q5,"8")</formula>
    </cfRule>
    <cfRule type="expression" dxfId="2045" priority="22">
      <formula>COUNTIF(Q5,"7")</formula>
    </cfRule>
    <cfRule type="expression" dxfId="2044" priority="23">
      <formula>COUNTIF(Q5,"3")</formula>
    </cfRule>
    <cfRule type="expression" dxfId="2043" priority="25">
      <formula>COUNTIF(Q5,"5")</formula>
    </cfRule>
    <cfRule type="expression" dxfId="2042" priority="26">
      <formula>COUNTIF(Q5,"2")</formula>
    </cfRule>
    <cfRule type="expression" dxfId="2041" priority="27">
      <formula>COUNTIF(Q5,"4")</formula>
    </cfRule>
    <cfRule type="expression" dxfId="2040" priority="28">
      <formula>COUNTIF(Q5,"1")</formula>
    </cfRule>
  </conditionalFormatting>
  <conditionalFormatting sqref="R5:R36">
    <cfRule type="expression" dxfId="2039" priority="24">
      <formula>COUNTIF(Q5,"6")</formula>
    </cfRule>
  </conditionalFormatting>
  <conditionalFormatting sqref="U5:U36">
    <cfRule type="expression" dxfId="2038" priority="3">
      <formula>COUNTIF(T5,"a")</formula>
    </cfRule>
    <cfRule type="expression" dxfId="2037" priority="4">
      <formula>COUNTIF(T5,"9")</formula>
    </cfRule>
    <cfRule type="expression" dxfId="2036" priority="5">
      <formula>COUNTIF(T5,"k")</formula>
    </cfRule>
    <cfRule type="expression" dxfId="2035" priority="6">
      <formula>COUNTIF(T5,"u")</formula>
    </cfRule>
    <cfRule type="expression" dxfId="2034" priority="7">
      <formula>COUNTIF(T5,"f")</formula>
    </cfRule>
    <cfRule type="expression" dxfId="2033" priority="8">
      <formula>COUNTIF(T5,"8")</formula>
    </cfRule>
    <cfRule type="expression" dxfId="2032" priority="9">
      <formula>COUNTIF(T5,"7")</formula>
    </cfRule>
    <cfRule type="expression" dxfId="2031" priority="10">
      <formula>COUNTIF(T5,"3")</formula>
    </cfRule>
    <cfRule type="expression" dxfId="2030" priority="12">
      <formula>COUNTIF(T5,"5")</formula>
    </cfRule>
    <cfRule type="expression" dxfId="2029" priority="13">
      <formula>COUNTIF(T5,"2")</formula>
    </cfRule>
    <cfRule type="expression" dxfId="2028" priority="14">
      <formula>COUNTIF(T5,"4")</formula>
    </cfRule>
    <cfRule type="expression" dxfId="2027" priority="15">
      <formula>COUNTIF(T5,"1")</formula>
    </cfRule>
  </conditionalFormatting>
  <conditionalFormatting sqref="U5:U36">
    <cfRule type="expression" dxfId="2026" priority="11">
      <formula>COUNTIF(T5,"6")</formula>
    </cfRule>
  </conditionalFormatting>
  <conditionalFormatting sqref="V32">
    <cfRule type="cellIs" dxfId="2025" priority="1" operator="lessThan">
      <formula>0</formula>
    </cfRule>
    <cfRule type="cellIs" dxfId="202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9C4F60A0-5BAF-1744-85B0-5070A997DFB6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C9972-5A23-FA4D-A75B-DD3F3DB297B8}">
  <sheetPr codeName="Tabelle8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43</v>
      </c>
      <c r="Q1" s="176"/>
      <c r="R1" s="79">
        <f>DATE(V1,1,7*P1-3-WEEKDAY(DATE(V1,,),3))</f>
        <v>45586</v>
      </c>
      <c r="S1" s="80" t="s">
        <v>1</v>
      </c>
      <c r="T1" s="177">
        <f>DATE(V1,1,7*P1+3-WEEKDAY(DATE(V1,,),3))</f>
        <v>45592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45586</v>
      </c>
      <c r="B2" s="178"/>
      <c r="C2" s="178"/>
      <c r="D2" s="178">
        <f>A2+1</f>
        <v>45587</v>
      </c>
      <c r="E2" s="179"/>
      <c r="F2" s="179"/>
      <c r="G2" s="178">
        <f>D2+1</f>
        <v>45588</v>
      </c>
      <c r="H2" s="179"/>
      <c r="I2" s="179"/>
      <c r="J2" s="178">
        <f>G2+1</f>
        <v>45589</v>
      </c>
      <c r="K2" s="179"/>
      <c r="L2" s="179"/>
      <c r="M2" s="178">
        <f>J2+1</f>
        <v>45590</v>
      </c>
      <c r="N2" s="179"/>
      <c r="O2" s="179"/>
      <c r="P2" s="178">
        <f>M2+1</f>
        <v>45591</v>
      </c>
      <c r="Q2" s="179"/>
      <c r="R2" s="179"/>
      <c r="S2" s="178">
        <f>P2+1</f>
        <v>45592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45586</v>
      </c>
      <c r="B3" s="168"/>
      <c r="C3" s="168"/>
      <c r="D3" s="168">
        <f>A3+1</f>
        <v>45587</v>
      </c>
      <c r="E3" s="168"/>
      <c r="F3" s="168"/>
      <c r="G3" s="168">
        <f>D3+1</f>
        <v>45588</v>
      </c>
      <c r="H3" s="168"/>
      <c r="I3" s="168"/>
      <c r="J3" s="168">
        <f>G3+1</f>
        <v>45589</v>
      </c>
      <c r="K3" s="168"/>
      <c r="L3" s="168"/>
      <c r="M3" s="168">
        <f>J3+1</f>
        <v>45590</v>
      </c>
      <c r="N3" s="168"/>
      <c r="O3" s="168"/>
      <c r="P3" s="168">
        <f>M3+1</f>
        <v>45591</v>
      </c>
      <c r="Q3" s="168"/>
      <c r="R3" s="168"/>
      <c r="S3" s="168">
        <f>P3+1</f>
        <v>45592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45586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45587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45588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45589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45590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45591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45592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42'!V32</f>
        <v>-1680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-1720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2023" priority="159">
      <formula>COUNTIF(B5,"a")</formula>
    </cfRule>
    <cfRule type="expression" dxfId="2022" priority="161">
      <formula>COUNTIF(B5,"9")</formula>
    </cfRule>
    <cfRule type="expression" dxfId="2021" priority="163">
      <formula>COUNTIF(B5,"k")</formula>
    </cfRule>
    <cfRule type="expression" dxfId="2020" priority="164">
      <formula>COUNTIF(B5,"u")</formula>
    </cfRule>
    <cfRule type="expression" dxfId="2019" priority="167">
      <formula>COUNTIF(B5,"f")</formula>
    </cfRule>
    <cfRule type="expression" dxfId="2018" priority="168">
      <formula>COUNTIF(B5,"8")</formula>
    </cfRule>
    <cfRule type="expression" dxfId="2017" priority="169">
      <formula>COUNTIF(B5,"7")</formula>
    </cfRule>
    <cfRule type="expression" dxfId="2016" priority="170">
      <formula>COUNTIF(B5,"3")</formula>
    </cfRule>
    <cfRule type="expression" dxfId="2015" priority="181">
      <formula>COUNTIF(B5,"5")</formula>
    </cfRule>
    <cfRule type="expression" dxfId="2014" priority="182">
      <formula>COUNTIF(B5,"2")</formula>
    </cfRule>
    <cfRule type="expression" dxfId="2013" priority="183">
      <formula>COUNTIF(B5,"4")</formula>
    </cfRule>
    <cfRule type="expression" dxfId="2012" priority="184">
      <formula>COUNTIF(B5,"1")</formula>
    </cfRule>
  </conditionalFormatting>
  <conditionalFormatting sqref="B5:B36">
    <cfRule type="cellIs" dxfId="2011" priority="160" operator="equal">
      <formula>"a"</formula>
    </cfRule>
    <cfRule type="cellIs" dxfId="2010" priority="162" operator="equal">
      <formula>"k"</formula>
    </cfRule>
    <cfRule type="cellIs" dxfId="2009" priority="165" operator="equal">
      <formula>"u"</formula>
    </cfRule>
    <cfRule type="cellIs" dxfId="2008" priority="166" operator="equal">
      <formula>"f"</formula>
    </cfRule>
    <cfRule type="cellIs" dxfId="2007" priority="171" operator="equal">
      <formula>9</formula>
    </cfRule>
    <cfRule type="cellIs" dxfId="2006" priority="172" operator="equal">
      <formula>8</formula>
    </cfRule>
    <cfRule type="cellIs" dxfId="2005" priority="173" operator="equal">
      <formula>5</formula>
    </cfRule>
    <cfRule type="cellIs" dxfId="2004" priority="174" operator="equal">
      <formula>3</formula>
    </cfRule>
    <cfRule type="cellIs" dxfId="2003" priority="176" operator="equal">
      <formula>6</formula>
    </cfRule>
    <cfRule type="cellIs" dxfId="2002" priority="177" operator="equal">
      <formula>4</formula>
    </cfRule>
    <cfRule type="cellIs" dxfId="2001" priority="178" operator="equal">
      <formula>2</formula>
    </cfRule>
    <cfRule type="cellIs" dxfId="2000" priority="179" operator="equal">
      <formula>7</formula>
    </cfRule>
    <cfRule type="cellIs" dxfId="1999" priority="180" operator="equal">
      <formula>1</formula>
    </cfRule>
  </conditionalFormatting>
  <conditionalFormatting sqref="C5:C36">
    <cfRule type="expression" dxfId="1998" priority="175">
      <formula>COUNTIF(B5,"6")</formula>
    </cfRule>
  </conditionalFormatting>
  <conditionalFormatting sqref="E5:E36">
    <cfRule type="cellIs" dxfId="1997" priority="146" operator="equal">
      <formula>"a"</formula>
    </cfRule>
    <cfRule type="cellIs" dxfId="1996" priority="147" operator="equal">
      <formula>"k"</formula>
    </cfRule>
    <cfRule type="cellIs" dxfId="1995" priority="148" operator="equal">
      <formula>"u"</formula>
    </cfRule>
    <cfRule type="cellIs" dxfId="1994" priority="149" operator="equal">
      <formula>"f"</formula>
    </cfRule>
    <cfRule type="cellIs" dxfId="1993" priority="150" operator="equal">
      <formula>9</formula>
    </cfRule>
    <cfRule type="cellIs" dxfId="1992" priority="151" operator="equal">
      <formula>8</formula>
    </cfRule>
    <cfRule type="cellIs" dxfId="1991" priority="152" operator="equal">
      <formula>5</formula>
    </cfRule>
    <cfRule type="cellIs" dxfId="1990" priority="153" operator="equal">
      <formula>3</formula>
    </cfRule>
    <cfRule type="cellIs" dxfId="1989" priority="154" operator="equal">
      <formula>6</formula>
    </cfRule>
    <cfRule type="cellIs" dxfId="1988" priority="155" operator="equal">
      <formula>4</formula>
    </cfRule>
    <cfRule type="cellIs" dxfId="1987" priority="156" operator="equal">
      <formula>2</formula>
    </cfRule>
    <cfRule type="cellIs" dxfId="1986" priority="157" operator="equal">
      <formula>7</formula>
    </cfRule>
    <cfRule type="cellIs" dxfId="1985" priority="158" operator="equal">
      <formula>1</formula>
    </cfRule>
  </conditionalFormatting>
  <conditionalFormatting sqref="H5:H36">
    <cfRule type="cellIs" dxfId="1984" priority="133" operator="equal">
      <formula>"a"</formula>
    </cfRule>
    <cfRule type="cellIs" dxfId="1983" priority="134" operator="equal">
      <formula>"k"</formula>
    </cfRule>
    <cfRule type="cellIs" dxfId="1982" priority="135" operator="equal">
      <formula>"u"</formula>
    </cfRule>
    <cfRule type="cellIs" dxfId="1981" priority="136" operator="equal">
      <formula>"f"</formula>
    </cfRule>
    <cfRule type="cellIs" dxfId="1980" priority="137" operator="equal">
      <formula>9</formula>
    </cfRule>
    <cfRule type="cellIs" dxfId="1979" priority="138" operator="equal">
      <formula>8</formula>
    </cfRule>
    <cfRule type="cellIs" dxfId="1978" priority="139" operator="equal">
      <formula>5</formula>
    </cfRule>
    <cfRule type="cellIs" dxfId="1977" priority="140" operator="equal">
      <formula>3</formula>
    </cfRule>
    <cfRule type="cellIs" dxfId="1976" priority="141" operator="equal">
      <formula>6</formula>
    </cfRule>
    <cfRule type="cellIs" dxfId="1975" priority="142" operator="equal">
      <formula>4</formula>
    </cfRule>
    <cfRule type="cellIs" dxfId="1974" priority="143" operator="equal">
      <formula>2</formula>
    </cfRule>
    <cfRule type="cellIs" dxfId="1973" priority="144" operator="equal">
      <formula>7</formula>
    </cfRule>
    <cfRule type="cellIs" dxfId="1972" priority="145" operator="equal">
      <formula>1</formula>
    </cfRule>
  </conditionalFormatting>
  <conditionalFormatting sqref="K5:K36">
    <cfRule type="cellIs" dxfId="1971" priority="120" operator="equal">
      <formula>"a"</formula>
    </cfRule>
    <cfRule type="cellIs" dxfId="1970" priority="121" operator="equal">
      <formula>"k"</formula>
    </cfRule>
    <cfRule type="cellIs" dxfId="1969" priority="122" operator="equal">
      <formula>"u"</formula>
    </cfRule>
    <cfRule type="cellIs" dxfId="1968" priority="123" operator="equal">
      <formula>"f"</formula>
    </cfRule>
    <cfRule type="cellIs" dxfId="1967" priority="124" operator="equal">
      <formula>9</formula>
    </cfRule>
    <cfRule type="cellIs" dxfId="1966" priority="125" operator="equal">
      <formula>8</formula>
    </cfRule>
    <cfRule type="cellIs" dxfId="1965" priority="126" operator="equal">
      <formula>5</formula>
    </cfRule>
    <cfRule type="cellIs" dxfId="1964" priority="127" operator="equal">
      <formula>3</formula>
    </cfRule>
    <cfRule type="cellIs" dxfId="1963" priority="128" operator="equal">
      <formula>6</formula>
    </cfRule>
    <cfRule type="cellIs" dxfId="1962" priority="129" operator="equal">
      <formula>4</formula>
    </cfRule>
    <cfRule type="cellIs" dxfId="1961" priority="130" operator="equal">
      <formula>2</formula>
    </cfRule>
    <cfRule type="cellIs" dxfId="1960" priority="131" operator="equal">
      <formula>7</formula>
    </cfRule>
    <cfRule type="cellIs" dxfId="1959" priority="132" operator="equal">
      <formula>1</formula>
    </cfRule>
  </conditionalFormatting>
  <conditionalFormatting sqref="N5:N36">
    <cfRule type="cellIs" dxfId="1958" priority="107" operator="equal">
      <formula>"a"</formula>
    </cfRule>
    <cfRule type="cellIs" dxfId="1957" priority="108" operator="equal">
      <formula>"k"</formula>
    </cfRule>
    <cfRule type="cellIs" dxfId="1956" priority="109" operator="equal">
      <formula>"u"</formula>
    </cfRule>
    <cfRule type="cellIs" dxfId="1955" priority="110" operator="equal">
      <formula>"f"</formula>
    </cfRule>
    <cfRule type="cellIs" dxfId="1954" priority="111" operator="equal">
      <formula>9</formula>
    </cfRule>
    <cfRule type="cellIs" dxfId="1953" priority="112" operator="equal">
      <formula>8</formula>
    </cfRule>
    <cfRule type="cellIs" dxfId="1952" priority="113" operator="equal">
      <formula>5</formula>
    </cfRule>
    <cfRule type="cellIs" dxfId="1951" priority="114" operator="equal">
      <formula>3</formula>
    </cfRule>
    <cfRule type="cellIs" dxfId="1950" priority="115" operator="equal">
      <formula>6</formula>
    </cfRule>
    <cfRule type="cellIs" dxfId="1949" priority="116" operator="equal">
      <formula>4</formula>
    </cfRule>
    <cfRule type="cellIs" dxfId="1948" priority="117" operator="equal">
      <formula>2</formula>
    </cfRule>
    <cfRule type="cellIs" dxfId="1947" priority="118" operator="equal">
      <formula>7</formula>
    </cfRule>
    <cfRule type="cellIs" dxfId="1946" priority="119" operator="equal">
      <formula>1</formula>
    </cfRule>
  </conditionalFormatting>
  <conditionalFormatting sqref="Q5:Q36">
    <cfRule type="cellIs" dxfId="1945" priority="94" operator="equal">
      <formula>"a"</formula>
    </cfRule>
    <cfRule type="cellIs" dxfId="1944" priority="95" operator="equal">
      <formula>"k"</formula>
    </cfRule>
    <cfRule type="cellIs" dxfId="1943" priority="96" operator="equal">
      <formula>"u"</formula>
    </cfRule>
    <cfRule type="cellIs" dxfId="1942" priority="97" operator="equal">
      <formula>"f"</formula>
    </cfRule>
    <cfRule type="cellIs" dxfId="1941" priority="98" operator="equal">
      <formula>9</formula>
    </cfRule>
    <cfRule type="cellIs" dxfId="1940" priority="99" operator="equal">
      <formula>8</formula>
    </cfRule>
    <cfRule type="cellIs" dxfId="1939" priority="100" operator="equal">
      <formula>5</formula>
    </cfRule>
    <cfRule type="cellIs" dxfId="1938" priority="101" operator="equal">
      <formula>3</formula>
    </cfRule>
    <cfRule type="cellIs" dxfId="1937" priority="102" operator="equal">
      <formula>6</formula>
    </cfRule>
    <cfRule type="cellIs" dxfId="1936" priority="103" operator="equal">
      <formula>4</formula>
    </cfRule>
    <cfRule type="cellIs" dxfId="1935" priority="104" operator="equal">
      <formula>2</formula>
    </cfRule>
    <cfRule type="cellIs" dxfId="1934" priority="105" operator="equal">
      <formula>7</formula>
    </cfRule>
    <cfRule type="cellIs" dxfId="1933" priority="106" operator="equal">
      <formula>1</formula>
    </cfRule>
  </conditionalFormatting>
  <conditionalFormatting sqref="T5:T36">
    <cfRule type="cellIs" dxfId="1932" priority="81" operator="equal">
      <formula>"a"</formula>
    </cfRule>
    <cfRule type="cellIs" dxfId="1931" priority="82" operator="equal">
      <formula>"k"</formula>
    </cfRule>
    <cfRule type="cellIs" dxfId="1930" priority="83" operator="equal">
      <formula>"u"</formula>
    </cfRule>
    <cfRule type="cellIs" dxfId="1929" priority="84" operator="equal">
      <formula>"f"</formula>
    </cfRule>
    <cfRule type="cellIs" dxfId="1928" priority="85" operator="equal">
      <formula>9</formula>
    </cfRule>
    <cfRule type="cellIs" dxfId="1927" priority="86" operator="equal">
      <formula>8</formula>
    </cfRule>
    <cfRule type="cellIs" dxfId="1926" priority="87" operator="equal">
      <formula>5</formula>
    </cfRule>
    <cfRule type="cellIs" dxfId="1925" priority="88" operator="equal">
      <formula>3</formula>
    </cfRule>
    <cfRule type="cellIs" dxfId="1924" priority="89" operator="equal">
      <formula>6</formula>
    </cfRule>
    <cfRule type="cellIs" dxfId="1923" priority="90" operator="equal">
      <formula>4</formula>
    </cfRule>
    <cfRule type="cellIs" dxfId="1922" priority="91" operator="equal">
      <formula>2</formula>
    </cfRule>
    <cfRule type="cellIs" dxfId="1921" priority="92" operator="equal">
      <formula>7</formula>
    </cfRule>
    <cfRule type="cellIs" dxfId="1920" priority="93" operator="equal">
      <formula>1</formula>
    </cfRule>
  </conditionalFormatting>
  <conditionalFormatting sqref="F5:F36">
    <cfRule type="expression" dxfId="1919" priority="68">
      <formula>COUNTIF(E5,"a")</formula>
    </cfRule>
    <cfRule type="expression" dxfId="1918" priority="69">
      <formula>COUNTIF(E5,"9")</formula>
    </cfRule>
    <cfRule type="expression" dxfId="1917" priority="70">
      <formula>COUNTIF(E5,"k")</formula>
    </cfRule>
    <cfRule type="expression" dxfId="1916" priority="71">
      <formula>COUNTIF(E5,"u")</formula>
    </cfRule>
    <cfRule type="expression" dxfId="1915" priority="72">
      <formula>COUNTIF(E5,"f")</formula>
    </cfRule>
    <cfRule type="expression" dxfId="1914" priority="73">
      <formula>COUNTIF(E5,"8")</formula>
    </cfRule>
    <cfRule type="expression" dxfId="1913" priority="74">
      <formula>COUNTIF(E5,"7")</formula>
    </cfRule>
    <cfRule type="expression" dxfId="1912" priority="75">
      <formula>COUNTIF(E5,"3")</formula>
    </cfRule>
    <cfRule type="expression" dxfId="1911" priority="77">
      <formula>COUNTIF(E5,"5")</formula>
    </cfRule>
    <cfRule type="expression" dxfId="1910" priority="78">
      <formula>COUNTIF(E5,"2")</formula>
    </cfRule>
    <cfRule type="expression" dxfId="1909" priority="79">
      <formula>COUNTIF(E5,"4")</formula>
    </cfRule>
    <cfRule type="expression" dxfId="1908" priority="80">
      <formula>COUNTIF(E5,"1")</formula>
    </cfRule>
  </conditionalFormatting>
  <conditionalFormatting sqref="F5:F36">
    <cfRule type="expression" dxfId="1907" priority="76">
      <formula>COUNTIF(E5,"6")</formula>
    </cfRule>
  </conditionalFormatting>
  <conditionalFormatting sqref="I5:I36">
    <cfRule type="expression" dxfId="1906" priority="55">
      <formula>COUNTIF(H5,"a")</formula>
    </cfRule>
    <cfRule type="expression" dxfId="1905" priority="56">
      <formula>COUNTIF(H5,"9")</formula>
    </cfRule>
    <cfRule type="expression" dxfId="1904" priority="57">
      <formula>COUNTIF(H5,"k")</formula>
    </cfRule>
    <cfRule type="expression" dxfId="1903" priority="58">
      <formula>COUNTIF(H5,"u")</formula>
    </cfRule>
    <cfRule type="expression" dxfId="1902" priority="59">
      <formula>COUNTIF(H5,"f")</formula>
    </cfRule>
    <cfRule type="expression" dxfId="1901" priority="60">
      <formula>COUNTIF(H5,"8")</formula>
    </cfRule>
    <cfRule type="expression" dxfId="1900" priority="61">
      <formula>COUNTIF(H5,"7")</formula>
    </cfRule>
    <cfRule type="expression" dxfId="1899" priority="62">
      <formula>COUNTIF(H5,"3")</formula>
    </cfRule>
    <cfRule type="expression" dxfId="1898" priority="64">
      <formula>COUNTIF(H5,"5")</formula>
    </cfRule>
    <cfRule type="expression" dxfId="1897" priority="65">
      <formula>COUNTIF(H5,"2")</formula>
    </cfRule>
    <cfRule type="expression" dxfId="1896" priority="66">
      <formula>COUNTIF(H5,"4")</formula>
    </cfRule>
    <cfRule type="expression" dxfId="1895" priority="67">
      <formula>COUNTIF(H5,"1")</formula>
    </cfRule>
  </conditionalFormatting>
  <conditionalFormatting sqref="I5:I36">
    <cfRule type="expression" dxfId="1894" priority="63">
      <formula>COUNTIF(H5,"6")</formula>
    </cfRule>
  </conditionalFormatting>
  <conditionalFormatting sqref="L5:L36">
    <cfRule type="expression" dxfId="1893" priority="42">
      <formula>COUNTIF(K5,"a")</formula>
    </cfRule>
    <cfRule type="expression" dxfId="1892" priority="43">
      <formula>COUNTIF(K5,"9")</formula>
    </cfRule>
    <cfRule type="expression" dxfId="1891" priority="44">
      <formula>COUNTIF(K5,"k")</formula>
    </cfRule>
    <cfRule type="expression" dxfId="1890" priority="45">
      <formula>COUNTIF(K5,"u")</formula>
    </cfRule>
    <cfRule type="expression" dxfId="1889" priority="46">
      <formula>COUNTIF(K5,"f")</formula>
    </cfRule>
    <cfRule type="expression" dxfId="1888" priority="47">
      <formula>COUNTIF(K5,"8")</formula>
    </cfRule>
    <cfRule type="expression" dxfId="1887" priority="48">
      <formula>COUNTIF(K5,"7")</formula>
    </cfRule>
    <cfRule type="expression" dxfId="1886" priority="49">
      <formula>COUNTIF(K5,"3")</formula>
    </cfRule>
    <cfRule type="expression" dxfId="1885" priority="51">
      <formula>COUNTIF(K5,"5")</formula>
    </cfRule>
    <cfRule type="expression" dxfId="1884" priority="52">
      <formula>COUNTIF(K5,"2")</formula>
    </cfRule>
    <cfRule type="expression" dxfId="1883" priority="53">
      <formula>COUNTIF(K5,"4")</formula>
    </cfRule>
    <cfRule type="expression" dxfId="1882" priority="54">
      <formula>COUNTIF(K5,"1")</formula>
    </cfRule>
  </conditionalFormatting>
  <conditionalFormatting sqref="L5:L36">
    <cfRule type="expression" dxfId="1881" priority="50">
      <formula>COUNTIF(K5,"6")</formula>
    </cfRule>
  </conditionalFormatting>
  <conditionalFormatting sqref="O5:O36">
    <cfRule type="expression" dxfId="1880" priority="29">
      <formula>COUNTIF(N5,"a")</formula>
    </cfRule>
    <cfRule type="expression" dxfId="1879" priority="30">
      <formula>COUNTIF(N5,"9")</formula>
    </cfRule>
    <cfRule type="expression" dxfId="1878" priority="31">
      <formula>COUNTIF(N5,"k")</formula>
    </cfRule>
    <cfRule type="expression" dxfId="1877" priority="32">
      <formula>COUNTIF(N5,"u")</formula>
    </cfRule>
    <cfRule type="expression" dxfId="1876" priority="33">
      <formula>COUNTIF(N5,"f")</formula>
    </cfRule>
    <cfRule type="expression" dxfId="1875" priority="34">
      <formula>COUNTIF(N5,"8")</formula>
    </cfRule>
    <cfRule type="expression" dxfId="1874" priority="35">
      <formula>COUNTIF(N5,"7")</formula>
    </cfRule>
    <cfRule type="expression" dxfId="1873" priority="36">
      <formula>COUNTIF(N5,"3")</formula>
    </cfRule>
    <cfRule type="expression" dxfId="1872" priority="38">
      <formula>COUNTIF(N5,"5")</formula>
    </cfRule>
    <cfRule type="expression" dxfId="1871" priority="39">
      <formula>COUNTIF(N5,"2")</formula>
    </cfRule>
    <cfRule type="expression" dxfId="1870" priority="40">
      <formula>COUNTIF(N5,"4")</formula>
    </cfRule>
    <cfRule type="expression" dxfId="1869" priority="41">
      <formula>COUNTIF(N5,"1")</formula>
    </cfRule>
  </conditionalFormatting>
  <conditionalFormatting sqref="O5:O36">
    <cfRule type="expression" dxfId="1868" priority="37">
      <formula>COUNTIF(N5,"6")</formula>
    </cfRule>
  </conditionalFormatting>
  <conditionalFormatting sqref="R5:R36">
    <cfRule type="expression" dxfId="1867" priority="16">
      <formula>COUNTIF(Q5,"a")</formula>
    </cfRule>
    <cfRule type="expression" dxfId="1866" priority="17">
      <formula>COUNTIF(Q5,"9")</formula>
    </cfRule>
    <cfRule type="expression" dxfId="1865" priority="18">
      <formula>COUNTIF(Q5,"k")</formula>
    </cfRule>
    <cfRule type="expression" dxfId="1864" priority="19">
      <formula>COUNTIF(Q5,"u")</formula>
    </cfRule>
    <cfRule type="expression" dxfId="1863" priority="20">
      <formula>COUNTIF(Q5,"f")</formula>
    </cfRule>
    <cfRule type="expression" dxfId="1862" priority="21">
      <formula>COUNTIF(Q5,"8")</formula>
    </cfRule>
    <cfRule type="expression" dxfId="1861" priority="22">
      <formula>COUNTIF(Q5,"7")</formula>
    </cfRule>
    <cfRule type="expression" dxfId="1860" priority="23">
      <formula>COUNTIF(Q5,"3")</formula>
    </cfRule>
    <cfRule type="expression" dxfId="1859" priority="25">
      <formula>COUNTIF(Q5,"5")</formula>
    </cfRule>
    <cfRule type="expression" dxfId="1858" priority="26">
      <formula>COUNTIF(Q5,"2")</formula>
    </cfRule>
    <cfRule type="expression" dxfId="1857" priority="27">
      <formula>COUNTIF(Q5,"4")</formula>
    </cfRule>
    <cfRule type="expression" dxfId="1856" priority="28">
      <formula>COUNTIF(Q5,"1")</formula>
    </cfRule>
  </conditionalFormatting>
  <conditionalFormatting sqref="R5:R36">
    <cfRule type="expression" dxfId="1855" priority="24">
      <formula>COUNTIF(Q5,"6")</formula>
    </cfRule>
  </conditionalFormatting>
  <conditionalFormatting sqref="U5:U36">
    <cfRule type="expression" dxfId="1854" priority="3">
      <formula>COUNTIF(T5,"a")</formula>
    </cfRule>
    <cfRule type="expression" dxfId="1853" priority="4">
      <formula>COUNTIF(T5,"9")</formula>
    </cfRule>
    <cfRule type="expression" dxfId="1852" priority="5">
      <formula>COUNTIF(T5,"k")</formula>
    </cfRule>
    <cfRule type="expression" dxfId="1851" priority="6">
      <formula>COUNTIF(T5,"u")</formula>
    </cfRule>
    <cfRule type="expression" dxfId="1850" priority="7">
      <formula>COUNTIF(T5,"f")</formula>
    </cfRule>
    <cfRule type="expression" dxfId="1849" priority="8">
      <formula>COUNTIF(T5,"8")</formula>
    </cfRule>
    <cfRule type="expression" dxfId="1848" priority="9">
      <formula>COUNTIF(T5,"7")</formula>
    </cfRule>
    <cfRule type="expression" dxfId="1847" priority="10">
      <formula>COUNTIF(T5,"3")</formula>
    </cfRule>
    <cfRule type="expression" dxfId="1846" priority="12">
      <formula>COUNTIF(T5,"5")</formula>
    </cfRule>
    <cfRule type="expression" dxfId="1845" priority="13">
      <formula>COUNTIF(T5,"2")</formula>
    </cfRule>
    <cfRule type="expression" dxfId="1844" priority="14">
      <formula>COUNTIF(T5,"4")</formula>
    </cfRule>
    <cfRule type="expression" dxfId="1843" priority="15">
      <formula>COUNTIF(T5,"1")</formula>
    </cfRule>
  </conditionalFormatting>
  <conditionalFormatting sqref="U5:U36">
    <cfRule type="expression" dxfId="1842" priority="11">
      <formula>COUNTIF(T5,"6")</formula>
    </cfRule>
  </conditionalFormatting>
  <conditionalFormatting sqref="V32">
    <cfRule type="cellIs" dxfId="1841" priority="1" operator="lessThan">
      <formula>0</formula>
    </cfRule>
    <cfRule type="cellIs" dxfId="184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51A09E1A-84F2-C541-9289-8A126F86965B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50B78-DB58-E94A-A1CF-B3BEB0D19996}">
  <sheetPr codeName="Tabelle89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44</v>
      </c>
      <c r="Q1" s="176"/>
      <c r="R1" s="79">
        <f>DATE(V1,1,7*P1-3-WEEKDAY(DATE(V1,,),3))</f>
        <v>45593</v>
      </c>
      <c r="S1" s="80" t="s">
        <v>1</v>
      </c>
      <c r="T1" s="177">
        <f>DATE(V1,1,7*P1+3-WEEKDAY(DATE(V1,,),3))</f>
        <v>45599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45593</v>
      </c>
      <c r="B2" s="178"/>
      <c r="C2" s="178"/>
      <c r="D2" s="178">
        <f>A2+1</f>
        <v>45594</v>
      </c>
      <c r="E2" s="179"/>
      <c r="F2" s="179"/>
      <c r="G2" s="178">
        <f>D2+1</f>
        <v>45595</v>
      </c>
      <c r="H2" s="179"/>
      <c r="I2" s="179"/>
      <c r="J2" s="178">
        <f>G2+1</f>
        <v>45596</v>
      </c>
      <c r="K2" s="179"/>
      <c r="L2" s="179"/>
      <c r="M2" s="178">
        <f>J2+1</f>
        <v>45597</v>
      </c>
      <c r="N2" s="179"/>
      <c r="O2" s="179"/>
      <c r="P2" s="178">
        <f>M2+1</f>
        <v>45598</v>
      </c>
      <c r="Q2" s="179"/>
      <c r="R2" s="179"/>
      <c r="S2" s="178">
        <f>P2+1</f>
        <v>45599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45593</v>
      </c>
      <c r="B3" s="168"/>
      <c r="C3" s="168"/>
      <c r="D3" s="168">
        <f>A3+1</f>
        <v>45594</v>
      </c>
      <c r="E3" s="168"/>
      <c r="F3" s="168"/>
      <c r="G3" s="168">
        <f>D3+1</f>
        <v>45595</v>
      </c>
      <c r="H3" s="168"/>
      <c r="I3" s="168"/>
      <c r="J3" s="168">
        <f>G3+1</f>
        <v>45596</v>
      </c>
      <c r="K3" s="168"/>
      <c r="L3" s="168"/>
      <c r="M3" s="168">
        <f>J3+1</f>
        <v>45597</v>
      </c>
      <c r="N3" s="168"/>
      <c r="O3" s="168"/>
      <c r="P3" s="168">
        <f>M3+1</f>
        <v>45598</v>
      </c>
      <c r="Q3" s="168"/>
      <c r="R3" s="168"/>
      <c r="S3" s="168">
        <f>P3+1</f>
        <v>45599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45593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45594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45595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45596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45597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45598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45599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43'!V32</f>
        <v>-1720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-1760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839" priority="159">
      <formula>COUNTIF(B5,"a")</formula>
    </cfRule>
    <cfRule type="expression" dxfId="1838" priority="161">
      <formula>COUNTIF(B5,"9")</formula>
    </cfRule>
    <cfRule type="expression" dxfId="1837" priority="163">
      <formula>COUNTIF(B5,"k")</formula>
    </cfRule>
    <cfRule type="expression" dxfId="1836" priority="164">
      <formula>COUNTIF(B5,"u")</formula>
    </cfRule>
    <cfRule type="expression" dxfId="1835" priority="167">
      <formula>COUNTIF(B5,"f")</formula>
    </cfRule>
    <cfRule type="expression" dxfId="1834" priority="168">
      <formula>COUNTIF(B5,"8")</formula>
    </cfRule>
    <cfRule type="expression" dxfId="1833" priority="169">
      <formula>COUNTIF(B5,"7")</formula>
    </cfRule>
    <cfRule type="expression" dxfId="1832" priority="170">
      <formula>COUNTIF(B5,"3")</formula>
    </cfRule>
    <cfRule type="expression" dxfId="1831" priority="181">
      <formula>COUNTIF(B5,"5")</formula>
    </cfRule>
    <cfRule type="expression" dxfId="1830" priority="182">
      <formula>COUNTIF(B5,"2")</formula>
    </cfRule>
    <cfRule type="expression" dxfId="1829" priority="183">
      <formula>COUNTIF(B5,"4")</formula>
    </cfRule>
    <cfRule type="expression" dxfId="1828" priority="184">
      <formula>COUNTIF(B5,"1")</formula>
    </cfRule>
  </conditionalFormatting>
  <conditionalFormatting sqref="B5:B36">
    <cfRule type="cellIs" dxfId="1827" priority="160" operator="equal">
      <formula>"a"</formula>
    </cfRule>
    <cfRule type="cellIs" dxfId="1826" priority="162" operator="equal">
      <formula>"k"</formula>
    </cfRule>
    <cfRule type="cellIs" dxfId="1825" priority="165" operator="equal">
      <formula>"u"</formula>
    </cfRule>
    <cfRule type="cellIs" dxfId="1824" priority="166" operator="equal">
      <formula>"f"</formula>
    </cfRule>
    <cfRule type="cellIs" dxfId="1823" priority="171" operator="equal">
      <formula>9</formula>
    </cfRule>
    <cfRule type="cellIs" dxfId="1822" priority="172" operator="equal">
      <formula>8</formula>
    </cfRule>
    <cfRule type="cellIs" dxfId="1821" priority="173" operator="equal">
      <formula>5</formula>
    </cfRule>
    <cfRule type="cellIs" dxfId="1820" priority="174" operator="equal">
      <formula>3</formula>
    </cfRule>
    <cfRule type="cellIs" dxfId="1819" priority="176" operator="equal">
      <formula>6</formula>
    </cfRule>
    <cfRule type="cellIs" dxfId="1818" priority="177" operator="equal">
      <formula>4</formula>
    </cfRule>
    <cfRule type="cellIs" dxfId="1817" priority="178" operator="equal">
      <formula>2</formula>
    </cfRule>
    <cfRule type="cellIs" dxfId="1816" priority="179" operator="equal">
      <formula>7</formula>
    </cfRule>
    <cfRule type="cellIs" dxfId="1815" priority="180" operator="equal">
      <formula>1</formula>
    </cfRule>
  </conditionalFormatting>
  <conditionalFormatting sqref="C5:C36">
    <cfRule type="expression" dxfId="1814" priority="175">
      <formula>COUNTIF(B5,"6")</formula>
    </cfRule>
  </conditionalFormatting>
  <conditionalFormatting sqref="E5:E36">
    <cfRule type="cellIs" dxfId="1813" priority="146" operator="equal">
      <formula>"a"</formula>
    </cfRule>
    <cfRule type="cellIs" dxfId="1812" priority="147" operator="equal">
      <formula>"k"</formula>
    </cfRule>
    <cfRule type="cellIs" dxfId="1811" priority="148" operator="equal">
      <formula>"u"</formula>
    </cfRule>
    <cfRule type="cellIs" dxfId="1810" priority="149" operator="equal">
      <formula>"f"</formula>
    </cfRule>
    <cfRule type="cellIs" dxfId="1809" priority="150" operator="equal">
      <formula>9</formula>
    </cfRule>
    <cfRule type="cellIs" dxfId="1808" priority="151" operator="equal">
      <formula>8</formula>
    </cfRule>
    <cfRule type="cellIs" dxfId="1807" priority="152" operator="equal">
      <formula>5</formula>
    </cfRule>
    <cfRule type="cellIs" dxfId="1806" priority="153" operator="equal">
      <formula>3</formula>
    </cfRule>
    <cfRule type="cellIs" dxfId="1805" priority="154" operator="equal">
      <formula>6</formula>
    </cfRule>
    <cfRule type="cellIs" dxfId="1804" priority="155" operator="equal">
      <formula>4</formula>
    </cfRule>
    <cfRule type="cellIs" dxfId="1803" priority="156" operator="equal">
      <formula>2</formula>
    </cfRule>
    <cfRule type="cellIs" dxfId="1802" priority="157" operator="equal">
      <formula>7</formula>
    </cfRule>
    <cfRule type="cellIs" dxfId="1801" priority="158" operator="equal">
      <formula>1</formula>
    </cfRule>
  </conditionalFormatting>
  <conditionalFormatting sqref="H5:H36">
    <cfRule type="cellIs" dxfId="1800" priority="133" operator="equal">
      <formula>"a"</formula>
    </cfRule>
    <cfRule type="cellIs" dxfId="1799" priority="134" operator="equal">
      <formula>"k"</formula>
    </cfRule>
    <cfRule type="cellIs" dxfId="1798" priority="135" operator="equal">
      <formula>"u"</formula>
    </cfRule>
    <cfRule type="cellIs" dxfId="1797" priority="136" operator="equal">
      <formula>"f"</formula>
    </cfRule>
    <cfRule type="cellIs" dxfId="1796" priority="137" operator="equal">
      <formula>9</formula>
    </cfRule>
    <cfRule type="cellIs" dxfId="1795" priority="138" operator="equal">
      <formula>8</formula>
    </cfRule>
    <cfRule type="cellIs" dxfId="1794" priority="139" operator="equal">
      <formula>5</formula>
    </cfRule>
    <cfRule type="cellIs" dxfId="1793" priority="140" operator="equal">
      <formula>3</formula>
    </cfRule>
    <cfRule type="cellIs" dxfId="1792" priority="141" operator="equal">
      <formula>6</formula>
    </cfRule>
    <cfRule type="cellIs" dxfId="1791" priority="142" operator="equal">
      <formula>4</formula>
    </cfRule>
    <cfRule type="cellIs" dxfId="1790" priority="143" operator="equal">
      <formula>2</formula>
    </cfRule>
    <cfRule type="cellIs" dxfId="1789" priority="144" operator="equal">
      <formula>7</formula>
    </cfRule>
    <cfRule type="cellIs" dxfId="1788" priority="145" operator="equal">
      <formula>1</formula>
    </cfRule>
  </conditionalFormatting>
  <conditionalFormatting sqref="K5:K36">
    <cfRule type="cellIs" dxfId="1787" priority="120" operator="equal">
      <formula>"a"</formula>
    </cfRule>
    <cfRule type="cellIs" dxfId="1786" priority="121" operator="equal">
      <formula>"k"</formula>
    </cfRule>
    <cfRule type="cellIs" dxfId="1785" priority="122" operator="equal">
      <formula>"u"</formula>
    </cfRule>
    <cfRule type="cellIs" dxfId="1784" priority="123" operator="equal">
      <formula>"f"</formula>
    </cfRule>
    <cfRule type="cellIs" dxfId="1783" priority="124" operator="equal">
      <formula>9</formula>
    </cfRule>
    <cfRule type="cellIs" dxfId="1782" priority="125" operator="equal">
      <formula>8</formula>
    </cfRule>
    <cfRule type="cellIs" dxfId="1781" priority="126" operator="equal">
      <formula>5</formula>
    </cfRule>
    <cfRule type="cellIs" dxfId="1780" priority="127" operator="equal">
      <formula>3</formula>
    </cfRule>
    <cfRule type="cellIs" dxfId="1779" priority="128" operator="equal">
      <formula>6</formula>
    </cfRule>
    <cfRule type="cellIs" dxfId="1778" priority="129" operator="equal">
      <formula>4</formula>
    </cfRule>
    <cfRule type="cellIs" dxfId="1777" priority="130" operator="equal">
      <formula>2</formula>
    </cfRule>
    <cfRule type="cellIs" dxfId="1776" priority="131" operator="equal">
      <formula>7</formula>
    </cfRule>
    <cfRule type="cellIs" dxfId="1775" priority="132" operator="equal">
      <formula>1</formula>
    </cfRule>
  </conditionalFormatting>
  <conditionalFormatting sqref="N5:N36">
    <cfRule type="cellIs" dxfId="1774" priority="107" operator="equal">
      <formula>"a"</formula>
    </cfRule>
    <cfRule type="cellIs" dxfId="1773" priority="108" operator="equal">
      <formula>"k"</formula>
    </cfRule>
    <cfRule type="cellIs" dxfId="1772" priority="109" operator="equal">
      <formula>"u"</formula>
    </cfRule>
    <cfRule type="cellIs" dxfId="1771" priority="110" operator="equal">
      <formula>"f"</formula>
    </cfRule>
    <cfRule type="cellIs" dxfId="1770" priority="111" operator="equal">
      <formula>9</formula>
    </cfRule>
    <cfRule type="cellIs" dxfId="1769" priority="112" operator="equal">
      <formula>8</formula>
    </cfRule>
    <cfRule type="cellIs" dxfId="1768" priority="113" operator="equal">
      <formula>5</formula>
    </cfRule>
    <cfRule type="cellIs" dxfId="1767" priority="114" operator="equal">
      <formula>3</formula>
    </cfRule>
    <cfRule type="cellIs" dxfId="1766" priority="115" operator="equal">
      <formula>6</formula>
    </cfRule>
    <cfRule type="cellIs" dxfId="1765" priority="116" operator="equal">
      <formula>4</formula>
    </cfRule>
    <cfRule type="cellIs" dxfId="1764" priority="117" operator="equal">
      <formula>2</formula>
    </cfRule>
    <cfRule type="cellIs" dxfId="1763" priority="118" operator="equal">
      <formula>7</formula>
    </cfRule>
    <cfRule type="cellIs" dxfId="1762" priority="119" operator="equal">
      <formula>1</formula>
    </cfRule>
  </conditionalFormatting>
  <conditionalFormatting sqref="Q5:Q36">
    <cfRule type="cellIs" dxfId="1761" priority="94" operator="equal">
      <formula>"a"</formula>
    </cfRule>
    <cfRule type="cellIs" dxfId="1760" priority="95" operator="equal">
      <formula>"k"</formula>
    </cfRule>
    <cfRule type="cellIs" dxfId="1759" priority="96" operator="equal">
      <formula>"u"</formula>
    </cfRule>
    <cfRule type="cellIs" dxfId="1758" priority="97" operator="equal">
      <formula>"f"</formula>
    </cfRule>
    <cfRule type="cellIs" dxfId="1757" priority="98" operator="equal">
      <formula>9</formula>
    </cfRule>
    <cfRule type="cellIs" dxfId="1756" priority="99" operator="equal">
      <formula>8</formula>
    </cfRule>
    <cfRule type="cellIs" dxfId="1755" priority="100" operator="equal">
      <formula>5</formula>
    </cfRule>
    <cfRule type="cellIs" dxfId="1754" priority="101" operator="equal">
      <formula>3</formula>
    </cfRule>
    <cfRule type="cellIs" dxfId="1753" priority="102" operator="equal">
      <formula>6</formula>
    </cfRule>
    <cfRule type="cellIs" dxfId="1752" priority="103" operator="equal">
      <formula>4</formula>
    </cfRule>
    <cfRule type="cellIs" dxfId="1751" priority="104" operator="equal">
      <formula>2</formula>
    </cfRule>
    <cfRule type="cellIs" dxfId="1750" priority="105" operator="equal">
      <formula>7</formula>
    </cfRule>
    <cfRule type="cellIs" dxfId="1749" priority="106" operator="equal">
      <formula>1</formula>
    </cfRule>
  </conditionalFormatting>
  <conditionalFormatting sqref="T5:T36">
    <cfRule type="cellIs" dxfId="1748" priority="81" operator="equal">
      <formula>"a"</formula>
    </cfRule>
    <cfRule type="cellIs" dxfId="1747" priority="82" operator="equal">
      <formula>"k"</formula>
    </cfRule>
    <cfRule type="cellIs" dxfId="1746" priority="83" operator="equal">
      <formula>"u"</formula>
    </cfRule>
    <cfRule type="cellIs" dxfId="1745" priority="84" operator="equal">
      <formula>"f"</formula>
    </cfRule>
    <cfRule type="cellIs" dxfId="1744" priority="85" operator="equal">
      <formula>9</formula>
    </cfRule>
    <cfRule type="cellIs" dxfId="1743" priority="86" operator="equal">
      <formula>8</formula>
    </cfRule>
    <cfRule type="cellIs" dxfId="1742" priority="87" operator="equal">
      <formula>5</formula>
    </cfRule>
    <cfRule type="cellIs" dxfId="1741" priority="88" operator="equal">
      <formula>3</formula>
    </cfRule>
    <cfRule type="cellIs" dxfId="1740" priority="89" operator="equal">
      <formula>6</formula>
    </cfRule>
    <cfRule type="cellIs" dxfId="1739" priority="90" operator="equal">
      <formula>4</formula>
    </cfRule>
    <cfRule type="cellIs" dxfId="1738" priority="91" operator="equal">
      <formula>2</formula>
    </cfRule>
    <cfRule type="cellIs" dxfId="1737" priority="92" operator="equal">
      <formula>7</formula>
    </cfRule>
    <cfRule type="cellIs" dxfId="1736" priority="93" operator="equal">
      <formula>1</formula>
    </cfRule>
  </conditionalFormatting>
  <conditionalFormatting sqref="F5:F36">
    <cfRule type="expression" dxfId="1735" priority="68">
      <formula>COUNTIF(E5,"a")</formula>
    </cfRule>
    <cfRule type="expression" dxfId="1734" priority="69">
      <formula>COUNTIF(E5,"9")</formula>
    </cfRule>
    <cfRule type="expression" dxfId="1733" priority="70">
      <formula>COUNTIF(E5,"k")</formula>
    </cfRule>
    <cfRule type="expression" dxfId="1732" priority="71">
      <formula>COUNTIF(E5,"u")</formula>
    </cfRule>
    <cfRule type="expression" dxfId="1731" priority="72">
      <formula>COUNTIF(E5,"f")</formula>
    </cfRule>
    <cfRule type="expression" dxfId="1730" priority="73">
      <formula>COUNTIF(E5,"8")</formula>
    </cfRule>
    <cfRule type="expression" dxfId="1729" priority="74">
      <formula>COUNTIF(E5,"7")</formula>
    </cfRule>
    <cfRule type="expression" dxfId="1728" priority="75">
      <formula>COUNTIF(E5,"3")</formula>
    </cfRule>
    <cfRule type="expression" dxfId="1727" priority="77">
      <formula>COUNTIF(E5,"5")</formula>
    </cfRule>
    <cfRule type="expression" dxfId="1726" priority="78">
      <formula>COUNTIF(E5,"2")</formula>
    </cfRule>
    <cfRule type="expression" dxfId="1725" priority="79">
      <formula>COUNTIF(E5,"4")</formula>
    </cfRule>
    <cfRule type="expression" dxfId="1724" priority="80">
      <formula>COUNTIF(E5,"1")</formula>
    </cfRule>
  </conditionalFormatting>
  <conditionalFormatting sqref="F5:F36">
    <cfRule type="expression" dxfId="1723" priority="76">
      <formula>COUNTIF(E5,"6")</formula>
    </cfRule>
  </conditionalFormatting>
  <conditionalFormatting sqref="I5:I36">
    <cfRule type="expression" dxfId="1722" priority="55">
      <formula>COUNTIF(H5,"a")</formula>
    </cfRule>
    <cfRule type="expression" dxfId="1721" priority="56">
      <formula>COUNTIF(H5,"9")</formula>
    </cfRule>
    <cfRule type="expression" dxfId="1720" priority="57">
      <formula>COUNTIF(H5,"k")</formula>
    </cfRule>
    <cfRule type="expression" dxfId="1719" priority="58">
      <formula>COUNTIF(H5,"u")</formula>
    </cfRule>
    <cfRule type="expression" dxfId="1718" priority="59">
      <formula>COUNTIF(H5,"f")</formula>
    </cfRule>
    <cfRule type="expression" dxfId="1717" priority="60">
      <formula>COUNTIF(H5,"8")</formula>
    </cfRule>
    <cfRule type="expression" dxfId="1716" priority="61">
      <formula>COUNTIF(H5,"7")</formula>
    </cfRule>
    <cfRule type="expression" dxfId="1715" priority="62">
      <formula>COUNTIF(H5,"3")</formula>
    </cfRule>
    <cfRule type="expression" dxfId="1714" priority="64">
      <formula>COUNTIF(H5,"5")</formula>
    </cfRule>
    <cfRule type="expression" dxfId="1713" priority="65">
      <formula>COUNTIF(H5,"2")</formula>
    </cfRule>
    <cfRule type="expression" dxfId="1712" priority="66">
      <formula>COUNTIF(H5,"4")</formula>
    </cfRule>
    <cfRule type="expression" dxfId="1711" priority="67">
      <formula>COUNTIF(H5,"1")</formula>
    </cfRule>
  </conditionalFormatting>
  <conditionalFormatting sqref="I5:I36">
    <cfRule type="expression" dxfId="1710" priority="63">
      <formula>COUNTIF(H5,"6")</formula>
    </cfRule>
  </conditionalFormatting>
  <conditionalFormatting sqref="L5:L36">
    <cfRule type="expression" dxfId="1709" priority="42">
      <formula>COUNTIF(K5,"a")</formula>
    </cfRule>
    <cfRule type="expression" dxfId="1708" priority="43">
      <formula>COUNTIF(K5,"9")</formula>
    </cfRule>
    <cfRule type="expression" dxfId="1707" priority="44">
      <formula>COUNTIF(K5,"k")</formula>
    </cfRule>
    <cfRule type="expression" dxfId="1706" priority="45">
      <formula>COUNTIF(K5,"u")</formula>
    </cfRule>
    <cfRule type="expression" dxfId="1705" priority="46">
      <formula>COUNTIF(K5,"f")</formula>
    </cfRule>
    <cfRule type="expression" dxfId="1704" priority="47">
      <formula>COUNTIF(K5,"8")</formula>
    </cfRule>
    <cfRule type="expression" dxfId="1703" priority="48">
      <formula>COUNTIF(K5,"7")</formula>
    </cfRule>
    <cfRule type="expression" dxfId="1702" priority="49">
      <formula>COUNTIF(K5,"3")</formula>
    </cfRule>
    <cfRule type="expression" dxfId="1701" priority="51">
      <formula>COUNTIF(K5,"5")</formula>
    </cfRule>
    <cfRule type="expression" dxfId="1700" priority="52">
      <formula>COUNTIF(K5,"2")</formula>
    </cfRule>
    <cfRule type="expression" dxfId="1699" priority="53">
      <formula>COUNTIF(K5,"4")</formula>
    </cfRule>
    <cfRule type="expression" dxfId="1698" priority="54">
      <formula>COUNTIF(K5,"1")</formula>
    </cfRule>
  </conditionalFormatting>
  <conditionalFormatting sqref="L5:L36">
    <cfRule type="expression" dxfId="1697" priority="50">
      <formula>COUNTIF(K5,"6")</formula>
    </cfRule>
  </conditionalFormatting>
  <conditionalFormatting sqref="O5:O36">
    <cfRule type="expression" dxfId="1696" priority="29">
      <formula>COUNTIF(N5,"a")</formula>
    </cfRule>
    <cfRule type="expression" dxfId="1695" priority="30">
      <formula>COUNTIF(N5,"9")</formula>
    </cfRule>
    <cfRule type="expression" dxfId="1694" priority="31">
      <formula>COUNTIF(N5,"k")</formula>
    </cfRule>
    <cfRule type="expression" dxfId="1693" priority="32">
      <formula>COUNTIF(N5,"u")</formula>
    </cfRule>
    <cfRule type="expression" dxfId="1692" priority="33">
      <formula>COUNTIF(N5,"f")</formula>
    </cfRule>
    <cfRule type="expression" dxfId="1691" priority="34">
      <formula>COUNTIF(N5,"8")</formula>
    </cfRule>
    <cfRule type="expression" dxfId="1690" priority="35">
      <formula>COUNTIF(N5,"7")</formula>
    </cfRule>
    <cfRule type="expression" dxfId="1689" priority="36">
      <formula>COUNTIF(N5,"3")</formula>
    </cfRule>
    <cfRule type="expression" dxfId="1688" priority="38">
      <formula>COUNTIF(N5,"5")</formula>
    </cfRule>
    <cfRule type="expression" dxfId="1687" priority="39">
      <formula>COUNTIF(N5,"2")</formula>
    </cfRule>
    <cfRule type="expression" dxfId="1686" priority="40">
      <formula>COUNTIF(N5,"4")</formula>
    </cfRule>
    <cfRule type="expression" dxfId="1685" priority="41">
      <formula>COUNTIF(N5,"1")</formula>
    </cfRule>
  </conditionalFormatting>
  <conditionalFormatting sqref="O5:O36">
    <cfRule type="expression" dxfId="1684" priority="37">
      <formula>COUNTIF(N5,"6")</formula>
    </cfRule>
  </conditionalFormatting>
  <conditionalFormatting sqref="R5:R36">
    <cfRule type="expression" dxfId="1683" priority="16">
      <formula>COUNTIF(Q5,"a")</formula>
    </cfRule>
    <cfRule type="expression" dxfId="1682" priority="17">
      <formula>COUNTIF(Q5,"9")</formula>
    </cfRule>
    <cfRule type="expression" dxfId="1681" priority="18">
      <formula>COUNTIF(Q5,"k")</formula>
    </cfRule>
    <cfRule type="expression" dxfId="1680" priority="19">
      <formula>COUNTIF(Q5,"u")</formula>
    </cfRule>
    <cfRule type="expression" dxfId="1679" priority="20">
      <formula>COUNTIF(Q5,"f")</formula>
    </cfRule>
    <cfRule type="expression" dxfId="1678" priority="21">
      <formula>COUNTIF(Q5,"8")</formula>
    </cfRule>
    <cfRule type="expression" dxfId="1677" priority="22">
      <formula>COUNTIF(Q5,"7")</formula>
    </cfRule>
    <cfRule type="expression" dxfId="1676" priority="23">
      <formula>COUNTIF(Q5,"3")</formula>
    </cfRule>
    <cfRule type="expression" dxfId="1675" priority="25">
      <formula>COUNTIF(Q5,"5")</formula>
    </cfRule>
    <cfRule type="expression" dxfId="1674" priority="26">
      <formula>COUNTIF(Q5,"2")</formula>
    </cfRule>
    <cfRule type="expression" dxfId="1673" priority="27">
      <formula>COUNTIF(Q5,"4")</formula>
    </cfRule>
    <cfRule type="expression" dxfId="1672" priority="28">
      <formula>COUNTIF(Q5,"1")</formula>
    </cfRule>
  </conditionalFormatting>
  <conditionalFormatting sqref="R5:R36">
    <cfRule type="expression" dxfId="1671" priority="24">
      <formula>COUNTIF(Q5,"6")</formula>
    </cfRule>
  </conditionalFormatting>
  <conditionalFormatting sqref="U5:U36">
    <cfRule type="expression" dxfId="1670" priority="3">
      <formula>COUNTIF(T5,"a")</formula>
    </cfRule>
    <cfRule type="expression" dxfId="1669" priority="4">
      <formula>COUNTIF(T5,"9")</formula>
    </cfRule>
    <cfRule type="expression" dxfId="1668" priority="5">
      <formula>COUNTIF(T5,"k")</formula>
    </cfRule>
    <cfRule type="expression" dxfId="1667" priority="6">
      <formula>COUNTIF(T5,"u")</formula>
    </cfRule>
    <cfRule type="expression" dxfId="1666" priority="7">
      <formula>COUNTIF(T5,"f")</formula>
    </cfRule>
    <cfRule type="expression" dxfId="1665" priority="8">
      <formula>COUNTIF(T5,"8")</formula>
    </cfRule>
    <cfRule type="expression" dxfId="1664" priority="9">
      <formula>COUNTIF(T5,"7")</formula>
    </cfRule>
    <cfRule type="expression" dxfId="1663" priority="10">
      <formula>COUNTIF(T5,"3")</formula>
    </cfRule>
    <cfRule type="expression" dxfId="1662" priority="12">
      <formula>COUNTIF(T5,"5")</formula>
    </cfRule>
    <cfRule type="expression" dxfId="1661" priority="13">
      <formula>COUNTIF(T5,"2")</formula>
    </cfRule>
    <cfRule type="expression" dxfId="1660" priority="14">
      <formula>COUNTIF(T5,"4")</formula>
    </cfRule>
    <cfRule type="expression" dxfId="1659" priority="15">
      <formula>COUNTIF(T5,"1")</formula>
    </cfRule>
  </conditionalFormatting>
  <conditionalFormatting sqref="U5:U36">
    <cfRule type="expression" dxfId="1658" priority="11">
      <formula>COUNTIF(T5,"6")</formula>
    </cfRule>
  </conditionalFormatting>
  <conditionalFormatting sqref="V32">
    <cfRule type="cellIs" dxfId="1657" priority="1" operator="lessThan">
      <formula>0</formula>
    </cfRule>
    <cfRule type="cellIs" dxfId="165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054E310-635F-A24C-8E75-68F475A5D615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A3DD4-107C-EF4E-AF65-4FCE364A61EA}">
  <sheetPr codeName="Tabelle90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45</v>
      </c>
      <c r="Q1" s="176"/>
      <c r="R1" s="79">
        <f>DATE(V1,1,7*P1-3-WEEKDAY(DATE(V1,,),3))</f>
        <v>45600</v>
      </c>
      <c r="S1" s="80" t="s">
        <v>1</v>
      </c>
      <c r="T1" s="177">
        <f>DATE(V1,1,7*P1+3-WEEKDAY(DATE(V1,,),3))</f>
        <v>45606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45600</v>
      </c>
      <c r="B2" s="178"/>
      <c r="C2" s="178"/>
      <c r="D2" s="178">
        <f>A2+1</f>
        <v>45601</v>
      </c>
      <c r="E2" s="179"/>
      <c r="F2" s="179"/>
      <c r="G2" s="178">
        <f>D2+1</f>
        <v>45602</v>
      </c>
      <c r="H2" s="179"/>
      <c r="I2" s="179"/>
      <c r="J2" s="178">
        <f>G2+1</f>
        <v>45603</v>
      </c>
      <c r="K2" s="179"/>
      <c r="L2" s="179"/>
      <c r="M2" s="178">
        <f>J2+1</f>
        <v>45604</v>
      </c>
      <c r="N2" s="179"/>
      <c r="O2" s="179"/>
      <c r="P2" s="178">
        <f>M2+1</f>
        <v>45605</v>
      </c>
      <c r="Q2" s="179"/>
      <c r="R2" s="179"/>
      <c r="S2" s="178">
        <f>P2+1</f>
        <v>45606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45600</v>
      </c>
      <c r="B3" s="168"/>
      <c r="C3" s="168"/>
      <c r="D3" s="168">
        <f>A3+1</f>
        <v>45601</v>
      </c>
      <c r="E3" s="168"/>
      <c r="F3" s="168"/>
      <c r="G3" s="168">
        <f>D3+1</f>
        <v>45602</v>
      </c>
      <c r="H3" s="168"/>
      <c r="I3" s="168"/>
      <c r="J3" s="168">
        <f>G3+1</f>
        <v>45603</v>
      </c>
      <c r="K3" s="168"/>
      <c r="L3" s="168"/>
      <c r="M3" s="168">
        <f>J3+1</f>
        <v>45604</v>
      </c>
      <c r="N3" s="168"/>
      <c r="O3" s="168"/>
      <c r="P3" s="168">
        <f>M3+1</f>
        <v>45605</v>
      </c>
      <c r="Q3" s="168"/>
      <c r="R3" s="168"/>
      <c r="S3" s="168">
        <f>P3+1</f>
        <v>45606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45600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45601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45602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45603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45604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45605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45606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44'!V32</f>
        <v>-1760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-1800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655" priority="159">
      <formula>COUNTIF(B5,"a")</formula>
    </cfRule>
    <cfRule type="expression" dxfId="1654" priority="161">
      <formula>COUNTIF(B5,"9")</formula>
    </cfRule>
    <cfRule type="expression" dxfId="1653" priority="163">
      <formula>COUNTIF(B5,"k")</formula>
    </cfRule>
    <cfRule type="expression" dxfId="1652" priority="164">
      <formula>COUNTIF(B5,"u")</formula>
    </cfRule>
    <cfRule type="expression" dxfId="1651" priority="167">
      <formula>COUNTIF(B5,"f")</formula>
    </cfRule>
    <cfRule type="expression" dxfId="1650" priority="168">
      <formula>COUNTIF(B5,"8")</formula>
    </cfRule>
    <cfRule type="expression" dxfId="1649" priority="169">
      <formula>COUNTIF(B5,"7")</formula>
    </cfRule>
    <cfRule type="expression" dxfId="1648" priority="170">
      <formula>COUNTIF(B5,"3")</formula>
    </cfRule>
    <cfRule type="expression" dxfId="1647" priority="181">
      <formula>COUNTIF(B5,"5")</formula>
    </cfRule>
    <cfRule type="expression" dxfId="1646" priority="182">
      <formula>COUNTIF(B5,"2")</formula>
    </cfRule>
    <cfRule type="expression" dxfId="1645" priority="183">
      <formula>COUNTIF(B5,"4")</formula>
    </cfRule>
    <cfRule type="expression" dxfId="1644" priority="184">
      <formula>COUNTIF(B5,"1")</formula>
    </cfRule>
  </conditionalFormatting>
  <conditionalFormatting sqref="B5:B36">
    <cfRule type="cellIs" dxfId="1643" priority="160" operator="equal">
      <formula>"a"</formula>
    </cfRule>
    <cfRule type="cellIs" dxfId="1642" priority="162" operator="equal">
      <formula>"k"</formula>
    </cfRule>
    <cfRule type="cellIs" dxfId="1641" priority="165" operator="equal">
      <formula>"u"</formula>
    </cfRule>
    <cfRule type="cellIs" dxfId="1640" priority="166" operator="equal">
      <formula>"f"</formula>
    </cfRule>
    <cfRule type="cellIs" dxfId="1639" priority="171" operator="equal">
      <formula>9</formula>
    </cfRule>
    <cfRule type="cellIs" dxfId="1638" priority="172" operator="equal">
      <formula>8</formula>
    </cfRule>
    <cfRule type="cellIs" dxfId="1637" priority="173" operator="equal">
      <formula>5</formula>
    </cfRule>
    <cfRule type="cellIs" dxfId="1636" priority="174" operator="equal">
      <formula>3</formula>
    </cfRule>
    <cfRule type="cellIs" dxfId="1635" priority="176" operator="equal">
      <formula>6</formula>
    </cfRule>
    <cfRule type="cellIs" dxfId="1634" priority="177" operator="equal">
      <formula>4</formula>
    </cfRule>
    <cfRule type="cellIs" dxfId="1633" priority="178" operator="equal">
      <formula>2</formula>
    </cfRule>
    <cfRule type="cellIs" dxfId="1632" priority="179" operator="equal">
      <formula>7</formula>
    </cfRule>
    <cfRule type="cellIs" dxfId="1631" priority="180" operator="equal">
      <formula>1</formula>
    </cfRule>
  </conditionalFormatting>
  <conditionalFormatting sqref="C5:C36">
    <cfRule type="expression" dxfId="1630" priority="175">
      <formula>COUNTIF(B5,"6")</formula>
    </cfRule>
  </conditionalFormatting>
  <conditionalFormatting sqref="E5:E36">
    <cfRule type="cellIs" dxfId="1629" priority="146" operator="equal">
      <formula>"a"</formula>
    </cfRule>
    <cfRule type="cellIs" dxfId="1628" priority="147" operator="equal">
      <formula>"k"</formula>
    </cfRule>
    <cfRule type="cellIs" dxfId="1627" priority="148" operator="equal">
      <formula>"u"</formula>
    </cfRule>
    <cfRule type="cellIs" dxfId="1626" priority="149" operator="equal">
      <formula>"f"</formula>
    </cfRule>
    <cfRule type="cellIs" dxfId="1625" priority="150" operator="equal">
      <formula>9</formula>
    </cfRule>
    <cfRule type="cellIs" dxfId="1624" priority="151" operator="equal">
      <formula>8</formula>
    </cfRule>
    <cfRule type="cellIs" dxfId="1623" priority="152" operator="equal">
      <formula>5</formula>
    </cfRule>
    <cfRule type="cellIs" dxfId="1622" priority="153" operator="equal">
      <formula>3</formula>
    </cfRule>
    <cfRule type="cellIs" dxfId="1621" priority="154" operator="equal">
      <formula>6</formula>
    </cfRule>
    <cfRule type="cellIs" dxfId="1620" priority="155" operator="equal">
      <formula>4</formula>
    </cfRule>
    <cfRule type="cellIs" dxfId="1619" priority="156" operator="equal">
      <formula>2</formula>
    </cfRule>
    <cfRule type="cellIs" dxfId="1618" priority="157" operator="equal">
      <formula>7</formula>
    </cfRule>
    <cfRule type="cellIs" dxfId="1617" priority="158" operator="equal">
      <formula>1</formula>
    </cfRule>
  </conditionalFormatting>
  <conditionalFormatting sqref="H5:H36">
    <cfRule type="cellIs" dxfId="1616" priority="133" operator="equal">
      <formula>"a"</formula>
    </cfRule>
    <cfRule type="cellIs" dxfId="1615" priority="134" operator="equal">
      <formula>"k"</formula>
    </cfRule>
    <cfRule type="cellIs" dxfId="1614" priority="135" operator="equal">
      <formula>"u"</formula>
    </cfRule>
    <cfRule type="cellIs" dxfId="1613" priority="136" operator="equal">
      <formula>"f"</formula>
    </cfRule>
    <cfRule type="cellIs" dxfId="1612" priority="137" operator="equal">
      <formula>9</formula>
    </cfRule>
    <cfRule type="cellIs" dxfId="1611" priority="138" operator="equal">
      <formula>8</formula>
    </cfRule>
    <cfRule type="cellIs" dxfId="1610" priority="139" operator="equal">
      <formula>5</formula>
    </cfRule>
    <cfRule type="cellIs" dxfId="1609" priority="140" operator="equal">
      <formula>3</formula>
    </cfRule>
    <cfRule type="cellIs" dxfId="1608" priority="141" operator="equal">
      <formula>6</formula>
    </cfRule>
    <cfRule type="cellIs" dxfId="1607" priority="142" operator="equal">
      <formula>4</formula>
    </cfRule>
    <cfRule type="cellIs" dxfId="1606" priority="143" operator="equal">
      <formula>2</formula>
    </cfRule>
    <cfRule type="cellIs" dxfId="1605" priority="144" operator="equal">
      <formula>7</formula>
    </cfRule>
    <cfRule type="cellIs" dxfId="1604" priority="145" operator="equal">
      <formula>1</formula>
    </cfRule>
  </conditionalFormatting>
  <conditionalFormatting sqref="K5:K36">
    <cfRule type="cellIs" dxfId="1603" priority="120" operator="equal">
      <formula>"a"</formula>
    </cfRule>
    <cfRule type="cellIs" dxfId="1602" priority="121" operator="equal">
      <formula>"k"</formula>
    </cfRule>
    <cfRule type="cellIs" dxfId="1601" priority="122" operator="equal">
      <formula>"u"</formula>
    </cfRule>
    <cfRule type="cellIs" dxfId="1600" priority="123" operator="equal">
      <formula>"f"</formula>
    </cfRule>
    <cfRule type="cellIs" dxfId="1599" priority="124" operator="equal">
      <formula>9</formula>
    </cfRule>
    <cfRule type="cellIs" dxfId="1598" priority="125" operator="equal">
      <formula>8</formula>
    </cfRule>
    <cfRule type="cellIs" dxfId="1597" priority="126" operator="equal">
      <formula>5</formula>
    </cfRule>
    <cfRule type="cellIs" dxfId="1596" priority="127" operator="equal">
      <formula>3</formula>
    </cfRule>
    <cfRule type="cellIs" dxfId="1595" priority="128" operator="equal">
      <formula>6</formula>
    </cfRule>
    <cfRule type="cellIs" dxfId="1594" priority="129" operator="equal">
      <formula>4</formula>
    </cfRule>
    <cfRule type="cellIs" dxfId="1593" priority="130" operator="equal">
      <formula>2</formula>
    </cfRule>
    <cfRule type="cellIs" dxfId="1592" priority="131" operator="equal">
      <formula>7</formula>
    </cfRule>
    <cfRule type="cellIs" dxfId="1591" priority="132" operator="equal">
      <formula>1</formula>
    </cfRule>
  </conditionalFormatting>
  <conditionalFormatting sqref="N5:N36">
    <cfRule type="cellIs" dxfId="1590" priority="107" operator="equal">
      <formula>"a"</formula>
    </cfRule>
    <cfRule type="cellIs" dxfId="1589" priority="108" operator="equal">
      <formula>"k"</formula>
    </cfRule>
    <cfRule type="cellIs" dxfId="1588" priority="109" operator="equal">
      <formula>"u"</formula>
    </cfRule>
    <cfRule type="cellIs" dxfId="1587" priority="110" operator="equal">
      <formula>"f"</formula>
    </cfRule>
    <cfRule type="cellIs" dxfId="1586" priority="111" operator="equal">
      <formula>9</formula>
    </cfRule>
    <cfRule type="cellIs" dxfId="1585" priority="112" operator="equal">
      <formula>8</formula>
    </cfRule>
    <cfRule type="cellIs" dxfId="1584" priority="113" operator="equal">
      <formula>5</formula>
    </cfRule>
    <cfRule type="cellIs" dxfId="1583" priority="114" operator="equal">
      <formula>3</formula>
    </cfRule>
    <cfRule type="cellIs" dxfId="1582" priority="115" operator="equal">
      <formula>6</formula>
    </cfRule>
    <cfRule type="cellIs" dxfId="1581" priority="116" operator="equal">
      <formula>4</formula>
    </cfRule>
    <cfRule type="cellIs" dxfId="1580" priority="117" operator="equal">
      <formula>2</formula>
    </cfRule>
    <cfRule type="cellIs" dxfId="1579" priority="118" operator="equal">
      <formula>7</formula>
    </cfRule>
    <cfRule type="cellIs" dxfId="1578" priority="119" operator="equal">
      <formula>1</formula>
    </cfRule>
  </conditionalFormatting>
  <conditionalFormatting sqref="Q5:Q36">
    <cfRule type="cellIs" dxfId="1577" priority="94" operator="equal">
      <formula>"a"</formula>
    </cfRule>
    <cfRule type="cellIs" dxfId="1576" priority="95" operator="equal">
      <formula>"k"</formula>
    </cfRule>
    <cfRule type="cellIs" dxfId="1575" priority="96" operator="equal">
      <formula>"u"</formula>
    </cfRule>
    <cfRule type="cellIs" dxfId="1574" priority="97" operator="equal">
      <formula>"f"</formula>
    </cfRule>
    <cfRule type="cellIs" dxfId="1573" priority="98" operator="equal">
      <formula>9</formula>
    </cfRule>
    <cfRule type="cellIs" dxfId="1572" priority="99" operator="equal">
      <formula>8</formula>
    </cfRule>
    <cfRule type="cellIs" dxfId="1571" priority="100" operator="equal">
      <formula>5</formula>
    </cfRule>
    <cfRule type="cellIs" dxfId="1570" priority="101" operator="equal">
      <formula>3</formula>
    </cfRule>
    <cfRule type="cellIs" dxfId="1569" priority="102" operator="equal">
      <formula>6</formula>
    </cfRule>
    <cfRule type="cellIs" dxfId="1568" priority="103" operator="equal">
      <formula>4</formula>
    </cfRule>
    <cfRule type="cellIs" dxfId="1567" priority="104" operator="equal">
      <formula>2</formula>
    </cfRule>
    <cfRule type="cellIs" dxfId="1566" priority="105" operator="equal">
      <formula>7</formula>
    </cfRule>
    <cfRule type="cellIs" dxfId="1565" priority="106" operator="equal">
      <formula>1</formula>
    </cfRule>
  </conditionalFormatting>
  <conditionalFormatting sqref="T5:T36">
    <cfRule type="cellIs" dxfId="1564" priority="81" operator="equal">
      <formula>"a"</formula>
    </cfRule>
    <cfRule type="cellIs" dxfId="1563" priority="82" operator="equal">
      <formula>"k"</formula>
    </cfRule>
    <cfRule type="cellIs" dxfId="1562" priority="83" operator="equal">
      <formula>"u"</formula>
    </cfRule>
    <cfRule type="cellIs" dxfId="1561" priority="84" operator="equal">
      <formula>"f"</formula>
    </cfRule>
    <cfRule type="cellIs" dxfId="1560" priority="85" operator="equal">
      <formula>9</formula>
    </cfRule>
    <cfRule type="cellIs" dxfId="1559" priority="86" operator="equal">
      <formula>8</formula>
    </cfRule>
    <cfRule type="cellIs" dxfId="1558" priority="87" operator="equal">
      <formula>5</formula>
    </cfRule>
    <cfRule type="cellIs" dxfId="1557" priority="88" operator="equal">
      <formula>3</formula>
    </cfRule>
    <cfRule type="cellIs" dxfId="1556" priority="89" operator="equal">
      <formula>6</formula>
    </cfRule>
    <cfRule type="cellIs" dxfId="1555" priority="90" operator="equal">
      <formula>4</formula>
    </cfRule>
    <cfRule type="cellIs" dxfId="1554" priority="91" operator="equal">
      <formula>2</formula>
    </cfRule>
    <cfRule type="cellIs" dxfId="1553" priority="92" operator="equal">
      <formula>7</formula>
    </cfRule>
    <cfRule type="cellIs" dxfId="1552" priority="93" operator="equal">
      <formula>1</formula>
    </cfRule>
  </conditionalFormatting>
  <conditionalFormatting sqref="F5:F36">
    <cfRule type="expression" dxfId="1551" priority="68">
      <formula>COUNTIF(E5,"a")</formula>
    </cfRule>
    <cfRule type="expression" dxfId="1550" priority="69">
      <formula>COUNTIF(E5,"9")</formula>
    </cfRule>
    <cfRule type="expression" dxfId="1549" priority="70">
      <formula>COUNTIF(E5,"k")</formula>
    </cfRule>
    <cfRule type="expression" dxfId="1548" priority="71">
      <formula>COUNTIF(E5,"u")</formula>
    </cfRule>
    <cfRule type="expression" dxfId="1547" priority="72">
      <formula>COUNTIF(E5,"f")</formula>
    </cfRule>
    <cfRule type="expression" dxfId="1546" priority="73">
      <formula>COUNTIF(E5,"8")</formula>
    </cfRule>
    <cfRule type="expression" dxfId="1545" priority="74">
      <formula>COUNTIF(E5,"7")</formula>
    </cfRule>
    <cfRule type="expression" dxfId="1544" priority="75">
      <formula>COUNTIF(E5,"3")</formula>
    </cfRule>
    <cfRule type="expression" dxfId="1543" priority="77">
      <formula>COUNTIF(E5,"5")</formula>
    </cfRule>
    <cfRule type="expression" dxfId="1542" priority="78">
      <formula>COUNTIF(E5,"2")</formula>
    </cfRule>
    <cfRule type="expression" dxfId="1541" priority="79">
      <formula>COUNTIF(E5,"4")</formula>
    </cfRule>
    <cfRule type="expression" dxfId="1540" priority="80">
      <formula>COUNTIF(E5,"1")</formula>
    </cfRule>
  </conditionalFormatting>
  <conditionalFormatting sqref="F5:F36">
    <cfRule type="expression" dxfId="1539" priority="76">
      <formula>COUNTIF(E5,"6")</formula>
    </cfRule>
  </conditionalFormatting>
  <conditionalFormatting sqref="I5:I36">
    <cfRule type="expression" dxfId="1538" priority="55">
      <formula>COUNTIF(H5,"a")</formula>
    </cfRule>
    <cfRule type="expression" dxfId="1537" priority="56">
      <formula>COUNTIF(H5,"9")</formula>
    </cfRule>
    <cfRule type="expression" dxfId="1536" priority="57">
      <formula>COUNTIF(H5,"k")</formula>
    </cfRule>
    <cfRule type="expression" dxfId="1535" priority="58">
      <formula>COUNTIF(H5,"u")</formula>
    </cfRule>
    <cfRule type="expression" dxfId="1534" priority="59">
      <formula>COUNTIF(H5,"f")</formula>
    </cfRule>
    <cfRule type="expression" dxfId="1533" priority="60">
      <formula>COUNTIF(H5,"8")</formula>
    </cfRule>
    <cfRule type="expression" dxfId="1532" priority="61">
      <formula>COUNTIF(H5,"7")</formula>
    </cfRule>
    <cfRule type="expression" dxfId="1531" priority="62">
      <formula>COUNTIF(H5,"3")</formula>
    </cfRule>
    <cfRule type="expression" dxfId="1530" priority="64">
      <formula>COUNTIF(H5,"5")</formula>
    </cfRule>
    <cfRule type="expression" dxfId="1529" priority="65">
      <formula>COUNTIF(H5,"2")</formula>
    </cfRule>
    <cfRule type="expression" dxfId="1528" priority="66">
      <formula>COUNTIF(H5,"4")</formula>
    </cfRule>
    <cfRule type="expression" dxfId="1527" priority="67">
      <formula>COUNTIF(H5,"1")</formula>
    </cfRule>
  </conditionalFormatting>
  <conditionalFormatting sqref="I5:I36">
    <cfRule type="expression" dxfId="1526" priority="63">
      <formula>COUNTIF(H5,"6")</formula>
    </cfRule>
  </conditionalFormatting>
  <conditionalFormatting sqref="L5:L36">
    <cfRule type="expression" dxfId="1525" priority="42">
      <formula>COUNTIF(K5,"a")</formula>
    </cfRule>
    <cfRule type="expression" dxfId="1524" priority="43">
      <formula>COUNTIF(K5,"9")</formula>
    </cfRule>
    <cfRule type="expression" dxfId="1523" priority="44">
      <formula>COUNTIF(K5,"k")</formula>
    </cfRule>
    <cfRule type="expression" dxfId="1522" priority="45">
      <formula>COUNTIF(K5,"u")</formula>
    </cfRule>
    <cfRule type="expression" dxfId="1521" priority="46">
      <formula>COUNTIF(K5,"f")</formula>
    </cfRule>
    <cfRule type="expression" dxfId="1520" priority="47">
      <formula>COUNTIF(K5,"8")</formula>
    </cfRule>
    <cfRule type="expression" dxfId="1519" priority="48">
      <formula>COUNTIF(K5,"7")</formula>
    </cfRule>
    <cfRule type="expression" dxfId="1518" priority="49">
      <formula>COUNTIF(K5,"3")</formula>
    </cfRule>
    <cfRule type="expression" dxfId="1517" priority="51">
      <formula>COUNTIF(K5,"5")</formula>
    </cfRule>
    <cfRule type="expression" dxfId="1516" priority="52">
      <formula>COUNTIF(K5,"2")</formula>
    </cfRule>
    <cfRule type="expression" dxfId="1515" priority="53">
      <formula>COUNTIF(K5,"4")</formula>
    </cfRule>
    <cfRule type="expression" dxfId="1514" priority="54">
      <formula>COUNTIF(K5,"1")</formula>
    </cfRule>
  </conditionalFormatting>
  <conditionalFormatting sqref="L5:L36">
    <cfRule type="expression" dxfId="1513" priority="50">
      <formula>COUNTIF(K5,"6")</formula>
    </cfRule>
  </conditionalFormatting>
  <conditionalFormatting sqref="O5:O36">
    <cfRule type="expression" dxfId="1512" priority="29">
      <formula>COUNTIF(N5,"a")</formula>
    </cfRule>
    <cfRule type="expression" dxfId="1511" priority="30">
      <formula>COUNTIF(N5,"9")</formula>
    </cfRule>
    <cfRule type="expression" dxfId="1510" priority="31">
      <formula>COUNTIF(N5,"k")</formula>
    </cfRule>
    <cfRule type="expression" dxfId="1509" priority="32">
      <formula>COUNTIF(N5,"u")</formula>
    </cfRule>
    <cfRule type="expression" dxfId="1508" priority="33">
      <formula>COUNTIF(N5,"f")</formula>
    </cfRule>
    <cfRule type="expression" dxfId="1507" priority="34">
      <formula>COUNTIF(N5,"8")</formula>
    </cfRule>
    <cfRule type="expression" dxfId="1506" priority="35">
      <formula>COUNTIF(N5,"7")</formula>
    </cfRule>
    <cfRule type="expression" dxfId="1505" priority="36">
      <formula>COUNTIF(N5,"3")</formula>
    </cfRule>
    <cfRule type="expression" dxfId="1504" priority="38">
      <formula>COUNTIF(N5,"5")</formula>
    </cfRule>
    <cfRule type="expression" dxfId="1503" priority="39">
      <formula>COUNTIF(N5,"2")</formula>
    </cfRule>
    <cfRule type="expression" dxfId="1502" priority="40">
      <formula>COUNTIF(N5,"4")</formula>
    </cfRule>
    <cfRule type="expression" dxfId="1501" priority="41">
      <formula>COUNTIF(N5,"1")</formula>
    </cfRule>
  </conditionalFormatting>
  <conditionalFormatting sqref="O5:O36">
    <cfRule type="expression" dxfId="1500" priority="37">
      <formula>COUNTIF(N5,"6")</formula>
    </cfRule>
  </conditionalFormatting>
  <conditionalFormatting sqref="R5:R36">
    <cfRule type="expression" dxfId="1499" priority="16">
      <formula>COUNTIF(Q5,"a")</formula>
    </cfRule>
    <cfRule type="expression" dxfId="1498" priority="17">
      <formula>COUNTIF(Q5,"9")</formula>
    </cfRule>
    <cfRule type="expression" dxfId="1497" priority="18">
      <formula>COUNTIF(Q5,"k")</formula>
    </cfRule>
    <cfRule type="expression" dxfId="1496" priority="19">
      <formula>COUNTIF(Q5,"u")</formula>
    </cfRule>
    <cfRule type="expression" dxfId="1495" priority="20">
      <formula>COUNTIF(Q5,"f")</formula>
    </cfRule>
    <cfRule type="expression" dxfId="1494" priority="21">
      <formula>COUNTIF(Q5,"8")</formula>
    </cfRule>
    <cfRule type="expression" dxfId="1493" priority="22">
      <formula>COUNTIF(Q5,"7")</formula>
    </cfRule>
    <cfRule type="expression" dxfId="1492" priority="23">
      <formula>COUNTIF(Q5,"3")</formula>
    </cfRule>
    <cfRule type="expression" dxfId="1491" priority="25">
      <formula>COUNTIF(Q5,"5")</formula>
    </cfRule>
    <cfRule type="expression" dxfId="1490" priority="26">
      <formula>COUNTIF(Q5,"2")</formula>
    </cfRule>
    <cfRule type="expression" dxfId="1489" priority="27">
      <formula>COUNTIF(Q5,"4")</formula>
    </cfRule>
    <cfRule type="expression" dxfId="1488" priority="28">
      <formula>COUNTIF(Q5,"1")</formula>
    </cfRule>
  </conditionalFormatting>
  <conditionalFormatting sqref="R5:R36">
    <cfRule type="expression" dxfId="1487" priority="24">
      <formula>COUNTIF(Q5,"6")</formula>
    </cfRule>
  </conditionalFormatting>
  <conditionalFormatting sqref="U5:U36">
    <cfRule type="expression" dxfId="1486" priority="3">
      <formula>COUNTIF(T5,"a")</formula>
    </cfRule>
    <cfRule type="expression" dxfId="1485" priority="4">
      <formula>COUNTIF(T5,"9")</formula>
    </cfRule>
    <cfRule type="expression" dxfId="1484" priority="5">
      <formula>COUNTIF(T5,"k")</formula>
    </cfRule>
    <cfRule type="expression" dxfId="1483" priority="6">
      <formula>COUNTIF(T5,"u")</formula>
    </cfRule>
    <cfRule type="expression" dxfId="1482" priority="7">
      <formula>COUNTIF(T5,"f")</formula>
    </cfRule>
    <cfRule type="expression" dxfId="1481" priority="8">
      <formula>COUNTIF(T5,"8")</formula>
    </cfRule>
    <cfRule type="expression" dxfId="1480" priority="9">
      <formula>COUNTIF(T5,"7")</formula>
    </cfRule>
    <cfRule type="expression" dxfId="1479" priority="10">
      <formula>COUNTIF(T5,"3")</formula>
    </cfRule>
    <cfRule type="expression" dxfId="1478" priority="12">
      <formula>COUNTIF(T5,"5")</formula>
    </cfRule>
    <cfRule type="expression" dxfId="1477" priority="13">
      <formula>COUNTIF(T5,"2")</formula>
    </cfRule>
    <cfRule type="expression" dxfId="1476" priority="14">
      <formula>COUNTIF(T5,"4")</formula>
    </cfRule>
    <cfRule type="expression" dxfId="1475" priority="15">
      <formula>COUNTIF(T5,"1")</formula>
    </cfRule>
  </conditionalFormatting>
  <conditionalFormatting sqref="U5:U36">
    <cfRule type="expression" dxfId="1474" priority="11">
      <formula>COUNTIF(T5,"6")</formula>
    </cfRule>
  </conditionalFormatting>
  <conditionalFormatting sqref="V32">
    <cfRule type="cellIs" dxfId="1473" priority="1" operator="lessThan">
      <formula>0</formula>
    </cfRule>
    <cfRule type="cellIs" dxfId="147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5A2C3989-0010-E645-A03E-7D3B6195E06E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BE770-0D02-4B41-A2D4-DE9A544F50CF}">
  <sheetPr codeName="Tabelle91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46</v>
      </c>
      <c r="Q1" s="176"/>
      <c r="R1" s="79">
        <f>DATE(V1,1,7*P1-3-WEEKDAY(DATE(V1,,),3))</f>
        <v>45607</v>
      </c>
      <c r="S1" s="80" t="s">
        <v>1</v>
      </c>
      <c r="T1" s="177">
        <f>DATE(V1,1,7*P1+3-WEEKDAY(DATE(V1,,),3))</f>
        <v>45613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45607</v>
      </c>
      <c r="B2" s="178"/>
      <c r="C2" s="178"/>
      <c r="D2" s="178">
        <f>A2+1</f>
        <v>45608</v>
      </c>
      <c r="E2" s="179"/>
      <c r="F2" s="179"/>
      <c r="G2" s="178">
        <f>D2+1</f>
        <v>45609</v>
      </c>
      <c r="H2" s="179"/>
      <c r="I2" s="179"/>
      <c r="J2" s="178">
        <f>G2+1</f>
        <v>45610</v>
      </c>
      <c r="K2" s="179"/>
      <c r="L2" s="179"/>
      <c r="M2" s="178">
        <f>J2+1</f>
        <v>45611</v>
      </c>
      <c r="N2" s="179"/>
      <c r="O2" s="179"/>
      <c r="P2" s="178">
        <f>M2+1</f>
        <v>45612</v>
      </c>
      <c r="Q2" s="179"/>
      <c r="R2" s="179"/>
      <c r="S2" s="178">
        <f>P2+1</f>
        <v>45613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45607</v>
      </c>
      <c r="B3" s="168"/>
      <c r="C3" s="168"/>
      <c r="D3" s="168">
        <f>A3+1</f>
        <v>45608</v>
      </c>
      <c r="E3" s="168"/>
      <c r="F3" s="168"/>
      <c r="G3" s="168">
        <f>D3+1</f>
        <v>45609</v>
      </c>
      <c r="H3" s="168"/>
      <c r="I3" s="168"/>
      <c r="J3" s="168">
        <f>G3+1</f>
        <v>45610</v>
      </c>
      <c r="K3" s="168"/>
      <c r="L3" s="168"/>
      <c r="M3" s="168">
        <f>J3+1</f>
        <v>45611</v>
      </c>
      <c r="N3" s="168"/>
      <c r="O3" s="168"/>
      <c r="P3" s="168">
        <f>M3+1</f>
        <v>45612</v>
      </c>
      <c r="Q3" s="168"/>
      <c r="R3" s="168"/>
      <c r="S3" s="168">
        <f>P3+1</f>
        <v>45613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45607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45608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45609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45610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45611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45612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45613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45'!V32</f>
        <v>-1800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-1840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471" priority="159">
      <formula>COUNTIF(B5,"a")</formula>
    </cfRule>
    <cfRule type="expression" dxfId="1470" priority="161">
      <formula>COUNTIF(B5,"9")</formula>
    </cfRule>
    <cfRule type="expression" dxfId="1469" priority="163">
      <formula>COUNTIF(B5,"k")</formula>
    </cfRule>
    <cfRule type="expression" dxfId="1468" priority="164">
      <formula>COUNTIF(B5,"u")</formula>
    </cfRule>
    <cfRule type="expression" dxfId="1467" priority="167">
      <formula>COUNTIF(B5,"f")</formula>
    </cfRule>
    <cfRule type="expression" dxfId="1466" priority="168">
      <formula>COUNTIF(B5,"8")</formula>
    </cfRule>
    <cfRule type="expression" dxfId="1465" priority="169">
      <formula>COUNTIF(B5,"7")</formula>
    </cfRule>
    <cfRule type="expression" dxfId="1464" priority="170">
      <formula>COUNTIF(B5,"3")</formula>
    </cfRule>
    <cfRule type="expression" dxfId="1463" priority="181">
      <formula>COUNTIF(B5,"5")</formula>
    </cfRule>
    <cfRule type="expression" dxfId="1462" priority="182">
      <formula>COUNTIF(B5,"2")</formula>
    </cfRule>
    <cfRule type="expression" dxfId="1461" priority="183">
      <formula>COUNTIF(B5,"4")</formula>
    </cfRule>
    <cfRule type="expression" dxfId="1460" priority="184">
      <formula>COUNTIF(B5,"1")</formula>
    </cfRule>
  </conditionalFormatting>
  <conditionalFormatting sqref="B5:B36">
    <cfRule type="cellIs" dxfId="1459" priority="160" operator="equal">
      <formula>"a"</formula>
    </cfRule>
    <cfRule type="cellIs" dxfId="1458" priority="162" operator="equal">
      <formula>"k"</formula>
    </cfRule>
    <cfRule type="cellIs" dxfId="1457" priority="165" operator="equal">
      <formula>"u"</formula>
    </cfRule>
    <cfRule type="cellIs" dxfId="1456" priority="166" operator="equal">
      <formula>"f"</formula>
    </cfRule>
    <cfRule type="cellIs" dxfId="1455" priority="171" operator="equal">
      <formula>9</formula>
    </cfRule>
    <cfRule type="cellIs" dxfId="1454" priority="172" operator="equal">
      <formula>8</formula>
    </cfRule>
    <cfRule type="cellIs" dxfId="1453" priority="173" operator="equal">
      <formula>5</formula>
    </cfRule>
    <cfRule type="cellIs" dxfId="1452" priority="174" operator="equal">
      <formula>3</formula>
    </cfRule>
    <cfRule type="cellIs" dxfId="1451" priority="176" operator="equal">
      <formula>6</formula>
    </cfRule>
    <cfRule type="cellIs" dxfId="1450" priority="177" operator="equal">
      <formula>4</formula>
    </cfRule>
    <cfRule type="cellIs" dxfId="1449" priority="178" operator="equal">
      <formula>2</formula>
    </cfRule>
    <cfRule type="cellIs" dxfId="1448" priority="179" operator="equal">
      <formula>7</formula>
    </cfRule>
    <cfRule type="cellIs" dxfId="1447" priority="180" operator="equal">
      <formula>1</formula>
    </cfRule>
  </conditionalFormatting>
  <conditionalFormatting sqref="C5:C36">
    <cfRule type="expression" dxfId="1446" priority="175">
      <formula>COUNTIF(B5,"6")</formula>
    </cfRule>
  </conditionalFormatting>
  <conditionalFormatting sqref="E5:E36">
    <cfRule type="cellIs" dxfId="1445" priority="146" operator="equal">
      <formula>"a"</formula>
    </cfRule>
    <cfRule type="cellIs" dxfId="1444" priority="147" operator="equal">
      <formula>"k"</formula>
    </cfRule>
    <cfRule type="cellIs" dxfId="1443" priority="148" operator="equal">
      <formula>"u"</formula>
    </cfRule>
    <cfRule type="cellIs" dxfId="1442" priority="149" operator="equal">
      <formula>"f"</formula>
    </cfRule>
    <cfRule type="cellIs" dxfId="1441" priority="150" operator="equal">
      <formula>9</formula>
    </cfRule>
    <cfRule type="cellIs" dxfId="1440" priority="151" operator="equal">
      <formula>8</formula>
    </cfRule>
    <cfRule type="cellIs" dxfId="1439" priority="152" operator="equal">
      <formula>5</formula>
    </cfRule>
    <cfRule type="cellIs" dxfId="1438" priority="153" operator="equal">
      <formula>3</formula>
    </cfRule>
    <cfRule type="cellIs" dxfId="1437" priority="154" operator="equal">
      <formula>6</formula>
    </cfRule>
    <cfRule type="cellIs" dxfId="1436" priority="155" operator="equal">
      <formula>4</formula>
    </cfRule>
    <cfRule type="cellIs" dxfId="1435" priority="156" operator="equal">
      <formula>2</formula>
    </cfRule>
    <cfRule type="cellIs" dxfId="1434" priority="157" operator="equal">
      <formula>7</formula>
    </cfRule>
    <cfRule type="cellIs" dxfId="1433" priority="158" operator="equal">
      <formula>1</formula>
    </cfRule>
  </conditionalFormatting>
  <conditionalFormatting sqref="H5:H36">
    <cfRule type="cellIs" dxfId="1432" priority="133" operator="equal">
      <formula>"a"</formula>
    </cfRule>
    <cfRule type="cellIs" dxfId="1431" priority="134" operator="equal">
      <formula>"k"</formula>
    </cfRule>
    <cfRule type="cellIs" dxfId="1430" priority="135" operator="equal">
      <formula>"u"</formula>
    </cfRule>
    <cfRule type="cellIs" dxfId="1429" priority="136" operator="equal">
      <formula>"f"</formula>
    </cfRule>
    <cfRule type="cellIs" dxfId="1428" priority="137" operator="equal">
      <formula>9</formula>
    </cfRule>
    <cfRule type="cellIs" dxfId="1427" priority="138" operator="equal">
      <formula>8</formula>
    </cfRule>
    <cfRule type="cellIs" dxfId="1426" priority="139" operator="equal">
      <formula>5</formula>
    </cfRule>
    <cfRule type="cellIs" dxfId="1425" priority="140" operator="equal">
      <formula>3</formula>
    </cfRule>
    <cfRule type="cellIs" dxfId="1424" priority="141" operator="equal">
      <formula>6</formula>
    </cfRule>
    <cfRule type="cellIs" dxfId="1423" priority="142" operator="equal">
      <formula>4</formula>
    </cfRule>
    <cfRule type="cellIs" dxfId="1422" priority="143" operator="equal">
      <formula>2</formula>
    </cfRule>
    <cfRule type="cellIs" dxfId="1421" priority="144" operator="equal">
      <formula>7</formula>
    </cfRule>
    <cfRule type="cellIs" dxfId="1420" priority="145" operator="equal">
      <formula>1</formula>
    </cfRule>
  </conditionalFormatting>
  <conditionalFormatting sqref="K5:K36">
    <cfRule type="cellIs" dxfId="1419" priority="120" operator="equal">
      <formula>"a"</formula>
    </cfRule>
    <cfRule type="cellIs" dxfId="1418" priority="121" operator="equal">
      <formula>"k"</formula>
    </cfRule>
    <cfRule type="cellIs" dxfId="1417" priority="122" operator="equal">
      <formula>"u"</formula>
    </cfRule>
    <cfRule type="cellIs" dxfId="1416" priority="123" operator="equal">
      <formula>"f"</formula>
    </cfRule>
    <cfRule type="cellIs" dxfId="1415" priority="124" operator="equal">
      <formula>9</formula>
    </cfRule>
    <cfRule type="cellIs" dxfId="1414" priority="125" operator="equal">
      <formula>8</formula>
    </cfRule>
    <cfRule type="cellIs" dxfId="1413" priority="126" operator="equal">
      <formula>5</formula>
    </cfRule>
    <cfRule type="cellIs" dxfId="1412" priority="127" operator="equal">
      <formula>3</formula>
    </cfRule>
    <cfRule type="cellIs" dxfId="1411" priority="128" operator="equal">
      <formula>6</formula>
    </cfRule>
    <cfRule type="cellIs" dxfId="1410" priority="129" operator="equal">
      <formula>4</formula>
    </cfRule>
    <cfRule type="cellIs" dxfId="1409" priority="130" operator="equal">
      <formula>2</formula>
    </cfRule>
    <cfRule type="cellIs" dxfId="1408" priority="131" operator="equal">
      <formula>7</formula>
    </cfRule>
    <cfRule type="cellIs" dxfId="1407" priority="132" operator="equal">
      <formula>1</formula>
    </cfRule>
  </conditionalFormatting>
  <conditionalFormatting sqref="N5:N36">
    <cfRule type="cellIs" dxfId="1406" priority="107" operator="equal">
      <formula>"a"</formula>
    </cfRule>
    <cfRule type="cellIs" dxfId="1405" priority="108" operator="equal">
      <formula>"k"</formula>
    </cfRule>
    <cfRule type="cellIs" dxfId="1404" priority="109" operator="equal">
      <formula>"u"</formula>
    </cfRule>
    <cfRule type="cellIs" dxfId="1403" priority="110" operator="equal">
      <formula>"f"</formula>
    </cfRule>
    <cfRule type="cellIs" dxfId="1402" priority="111" operator="equal">
      <formula>9</formula>
    </cfRule>
    <cfRule type="cellIs" dxfId="1401" priority="112" operator="equal">
      <formula>8</formula>
    </cfRule>
    <cfRule type="cellIs" dxfId="1400" priority="113" operator="equal">
      <formula>5</formula>
    </cfRule>
    <cfRule type="cellIs" dxfId="1399" priority="114" operator="equal">
      <formula>3</formula>
    </cfRule>
    <cfRule type="cellIs" dxfId="1398" priority="115" operator="equal">
      <formula>6</formula>
    </cfRule>
    <cfRule type="cellIs" dxfId="1397" priority="116" operator="equal">
      <formula>4</formula>
    </cfRule>
    <cfRule type="cellIs" dxfId="1396" priority="117" operator="equal">
      <formula>2</formula>
    </cfRule>
    <cfRule type="cellIs" dxfId="1395" priority="118" operator="equal">
      <formula>7</formula>
    </cfRule>
    <cfRule type="cellIs" dxfId="1394" priority="119" operator="equal">
      <formula>1</formula>
    </cfRule>
  </conditionalFormatting>
  <conditionalFormatting sqref="Q5:Q36">
    <cfRule type="cellIs" dxfId="1393" priority="94" operator="equal">
      <formula>"a"</formula>
    </cfRule>
    <cfRule type="cellIs" dxfId="1392" priority="95" operator="equal">
      <formula>"k"</formula>
    </cfRule>
    <cfRule type="cellIs" dxfId="1391" priority="96" operator="equal">
      <formula>"u"</formula>
    </cfRule>
    <cfRule type="cellIs" dxfId="1390" priority="97" operator="equal">
      <formula>"f"</formula>
    </cfRule>
    <cfRule type="cellIs" dxfId="1389" priority="98" operator="equal">
      <formula>9</formula>
    </cfRule>
    <cfRule type="cellIs" dxfId="1388" priority="99" operator="equal">
      <formula>8</formula>
    </cfRule>
    <cfRule type="cellIs" dxfId="1387" priority="100" operator="equal">
      <formula>5</formula>
    </cfRule>
    <cfRule type="cellIs" dxfId="1386" priority="101" operator="equal">
      <formula>3</formula>
    </cfRule>
    <cfRule type="cellIs" dxfId="1385" priority="102" operator="equal">
      <formula>6</formula>
    </cfRule>
    <cfRule type="cellIs" dxfId="1384" priority="103" operator="equal">
      <formula>4</formula>
    </cfRule>
    <cfRule type="cellIs" dxfId="1383" priority="104" operator="equal">
      <formula>2</formula>
    </cfRule>
    <cfRule type="cellIs" dxfId="1382" priority="105" operator="equal">
      <formula>7</formula>
    </cfRule>
    <cfRule type="cellIs" dxfId="1381" priority="106" operator="equal">
      <formula>1</formula>
    </cfRule>
  </conditionalFormatting>
  <conditionalFormatting sqref="T5:T36">
    <cfRule type="cellIs" dxfId="1380" priority="81" operator="equal">
      <formula>"a"</formula>
    </cfRule>
    <cfRule type="cellIs" dxfId="1379" priority="82" operator="equal">
      <formula>"k"</formula>
    </cfRule>
    <cfRule type="cellIs" dxfId="1378" priority="83" operator="equal">
      <formula>"u"</formula>
    </cfRule>
    <cfRule type="cellIs" dxfId="1377" priority="84" operator="equal">
      <formula>"f"</formula>
    </cfRule>
    <cfRule type="cellIs" dxfId="1376" priority="85" operator="equal">
      <formula>9</formula>
    </cfRule>
    <cfRule type="cellIs" dxfId="1375" priority="86" operator="equal">
      <formula>8</formula>
    </cfRule>
    <cfRule type="cellIs" dxfId="1374" priority="87" operator="equal">
      <formula>5</formula>
    </cfRule>
    <cfRule type="cellIs" dxfId="1373" priority="88" operator="equal">
      <formula>3</formula>
    </cfRule>
    <cfRule type="cellIs" dxfId="1372" priority="89" operator="equal">
      <formula>6</formula>
    </cfRule>
    <cfRule type="cellIs" dxfId="1371" priority="90" operator="equal">
      <formula>4</formula>
    </cfRule>
    <cfRule type="cellIs" dxfId="1370" priority="91" operator="equal">
      <formula>2</formula>
    </cfRule>
    <cfRule type="cellIs" dxfId="1369" priority="92" operator="equal">
      <formula>7</formula>
    </cfRule>
    <cfRule type="cellIs" dxfId="1368" priority="93" operator="equal">
      <formula>1</formula>
    </cfRule>
  </conditionalFormatting>
  <conditionalFormatting sqref="F5:F36">
    <cfRule type="expression" dxfId="1367" priority="68">
      <formula>COUNTIF(E5,"a")</formula>
    </cfRule>
    <cfRule type="expression" dxfId="1366" priority="69">
      <formula>COUNTIF(E5,"9")</formula>
    </cfRule>
    <cfRule type="expression" dxfId="1365" priority="70">
      <formula>COUNTIF(E5,"k")</formula>
    </cfRule>
    <cfRule type="expression" dxfId="1364" priority="71">
      <formula>COUNTIF(E5,"u")</formula>
    </cfRule>
    <cfRule type="expression" dxfId="1363" priority="72">
      <formula>COUNTIF(E5,"f")</formula>
    </cfRule>
    <cfRule type="expression" dxfId="1362" priority="73">
      <formula>COUNTIF(E5,"8")</formula>
    </cfRule>
    <cfRule type="expression" dxfId="1361" priority="74">
      <formula>COUNTIF(E5,"7")</formula>
    </cfRule>
    <cfRule type="expression" dxfId="1360" priority="75">
      <formula>COUNTIF(E5,"3")</formula>
    </cfRule>
    <cfRule type="expression" dxfId="1359" priority="77">
      <formula>COUNTIF(E5,"5")</formula>
    </cfRule>
    <cfRule type="expression" dxfId="1358" priority="78">
      <formula>COUNTIF(E5,"2")</formula>
    </cfRule>
    <cfRule type="expression" dxfId="1357" priority="79">
      <formula>COUNTIF(E5,"4")</formula>
    </cfRule>
    <cfRule type="expression" dxfId="1356" priority="80">
      <formula>COUNTIF(E5,"1")</formula>
    </cfRule>
  </conditionalFormatting>
  <conditionalFormatting sqref="F5:F36">
    <cfRule type="expression" dxfId="1355" priority="76">
      <formula>COUNTIF(E5,"6")</formula>
    </cfRule>
  </conditionalFormatting>
  <conditionalFormatting sqref="I5:I36">
    <cfRule type="expression" dxfId="1354" priority="55">
      <formula>COUNTIF(H5,"a")</formula>
    </cfRule>
    <cfRule type="expression" dxfId="1353" priority="56">
      <formula>COUNTIF(H5,"9")</formula>
    </cfRule>
    <cfRule type="expression" dxfId="1352" priority="57">
      <formula>COUNTIF(H5,"k")</formula>
    </cfRule>
    <cfRule type="expression" dxfId="1351" priority="58">
      <formula>COUNTIF(H5,"u")</formula>
    </cfRule>
    <cfRule type="expression" dxfId="1350" priority="59">
      <formula>COUNTIF(H5,"f")</formula>
    </cfRule>
    <cfRule type="expression" dxfId="1349" priority="60">
      <formula>COUNTIF(H5,"8")</formula>
    </cfRule>
    <cfRule type="expression" dxfId="1348" priority="61">
      <formula>COUNTIF(H5,"7")</formula>
    </cfRule>
    <cfRule type="expression" dxfId="1347" priority="62">
      <formula>COUNTIF(H5,"3")</formula>
    </cfRule>
    <cfRule type="expression" dxfId="1346" priority="64">
      <formula>COUNTIF(H5,"5")</formula>
    </cfRule>
    <cfRule type="expression" dxfId="1345" priority="65">
      <formula>COUNTIF(H5,"2")</formula>
    </cfRule>
    <cfRule type="expression" dxfId="1344" priority="66">
      <formula>COUNTIF(H5,"4")</formula>
    </cfRule>
    <cfRule type="expression" dxfId="1343" priority="67">
      <formula>COUNTIF(H5,"1")</formula>
    </cfRule>
  </conditionalFormatting>
  <conditionalFormatting sqref="I5:I36">
    <cfRule type="expression" dxfId="1342" priority="63">
      <formula>COUNTIF(H5,"6")</formula>
    </cfRule>
  </conditionalFormatting>
  <conditionalFormatting sqref="L5:L36">
    <cfRule type="expression" dxfId="1341" priority="42">
      <formula>COUNTIF(K5,"a")</formula>
    </cfRule>
    <cfRule type="expression" dxfId="1340" priority="43">
      <formula>COUNTIF(K5,"9")</formula>
    </cfRule>
    <cfRule type="expression" dxfId="1339" priority="44">
      <formula>COUNTIF(K5,"k")</formula>
    </cfRule>
    <cfRule type="expression" dxfId="1338" priority="45">
      <formula>COUNTIF(K5,"u")</formula>
    </cfRule>
    <cfRule type="expression" dxfId="1337" priority="46">
      <formula>COUNTIF(K5,"f")</formula>
    </cfRule>
    <cfRule type="expression" dxfId="1336" priority="47">
      <formula>COUNTIF(K5,"8")</formula>
    </cfRule>
    <cfRule type="expression" dxfId="1335" priority="48">
      <formula>COUNTIF(K5,"7")</formula>
    </cfRule>
    <cfRule type="expression" dxfId="1334" priority="49">
      <formula>COUNTIF(K5,"3")</formula>
    </cfRule>
    <cfRule type="expression" dxfId="1333" priority="51">
      <formula>COUNTIF(K5,"5")</formula>
    </cfRule>
    <cfRule type="expression" dxfId="1332" priority="52">
      <formula>COUNTIF(K5,"2")</formula>
    </cfRule>
    <cfRule type="expression" dxfId="1331" priority="53">
      <formula>COUNTIF(K5,"4")</formula>
    </cfRule>
    <cfRule type="expression" dxfId="1330" priority="54">
      <formula>COUNTIF(K5,"1")</formula>
    </cfRule>
  </conditionalFormatting>
  <conditionalFormatting sqref="L5:L36">
    <cfRule type="expression" dxfId="1329" priority="50">
      <formula>COUNTIF(K5,"6")</formula>
    </cfRule>
  </conditionalFormatting>
  <conditionalFormatting sqref="O5:O36">
    <cfRule type="expression" dxfId="1328" priority="29">
      <formula>COUNTIF(N5,"a")</formula>
    </cfRule>
    <cfRule type="expression" dxfId="1327" priority="30">
      <formula>COUNTIF(N5,"9")</formula>
    </cfRule>
    <cfRule type="expression" dxfId="1326" priority="31">
      <formula>COUNTIF(N5,"k")</formula>
    </cfRule>
    <cfRule type="expression" dxfId="1325" priority="32">
      <formula>COUNTIF(N5,"u")</formula>
    </cfRule>
    <cfRule type="expression" dxfId="1324" priority="33">
      <formula>COUNTIF(N5,"f")</formula>
    </cfRule>
    <cfRule type="expression" dxfId="1323" priority="34">
      <formula>COUNTIF(N5,"8")</formula>
    </cfRule>
    <cfRule type="expression" dxfId="1322" priority="35">
      <formula>COUNTIF(N5,"7")</formula>
    </cfRule>
    <cfRule type="expression" dxfId="1321" priority="36">
      <formula>COUNTIF(N5,"3")</formula>
    </cfRule>
    <cfRule type="expression" dxfId="1320" priority="38">
      <formula>COUNTIF(N5,"5")</formula>
    </cfRule>
    <cfRule type="expression" dxfId="1319" priority="39">
      <formula>COUNTIF(N5,"2")</formula>
    </cfRule>
    <cfRule type="expression" dxfId="1318" priority="40">
      <formula>COUNTIF(N5,"4")</formula>
    </cfRule>
    <cfRule type="expression" dxfId="1317" priority="41">
      <formula>COUNTIF(N5,"1")</formula>
    </cfRule>
  </conditionalFormatting>
  <conditionalFormatting sqref="O5:O36">
    <cfRule type="expression" dxfId="1316" priority="37">
      <formula>COUNTIF(N5,"6")</formula>
    </cfRule>
  </conditionalFormatting>
  <conditionalFormatting sqref="R5:R36">
    <cfRule type="expression" dxfId="1315" priority="16">
      <formula>COUNTIF(Q5,"a")</formula>
    </cfRule>
    <cfRule type="expression" dxfId="1314" priority="17">
      <formula>COUNTIF(Q5,"9")</formula>
    </cfRule>
    <cfRule type="expression" dxfId="1313" priority="18">
      <formula>COUNTIF(Q5,"k")</formula>
    </cfRule>
    <cfRule type="expression" dxfId="1312" priority="19">
      <formula>COUNTIF(Q5,"u")</formula>
    </cfRule>
    <cfRule type="expression" dxfId="1311" priority="20">
      <formula>COUNTIF(Q5,"f")</formula>
    </cfRule>
    <cfRule type="expression" dxfId="1310" priority="21">
      <formula>COUNTIF(Q5,"8")</formula>
    </cfRule>
    <cfRule type="expression" dxfId="1309" priority="22">
      <formula>COUNTIF(Q5,"7")</formula>
    </cfRule>
    <cfRule type="expression" dxfId="1308" priority="23">
      <formula>COUNTIF(Q5,"3")</formula>
    </cfRule>
    <cfRule type="expression" dxfId="1307" priority="25">
      <formula>COUNTIF(Q5,"5")</formula>
    </cfRule>
    <cfRule type="expression" dxfId="1306" priority="26">
      <formula>COUNTIF(Q5,"2")</formula>
    </cfRule>
    <cfRule type="expression" dxfId="1305" priority="27">
      <formula>COUNTIF(Q5,"4")</formula>
    </cfRule>
    <cfRule type="expression" dxfId="1304" priority="28">
      <formula>COUNTIF(Q5,"1")</formula>
    </cfRule>
  </conditionalFormatting>
  <conditionalFormatting sqref="R5:R36">
    <cfRule type="expression" dxfId="1303" priority="24">
      <formula>COUNTIF(Q5,"6")</formula>
    </cfRule>
  </conditionalFormatting>
  <conditionalFormatting sqref="U5:U36">
    <cfRule type="expression" dxfId="1302" priority="3">
      <formula>COUNTIF(T5,"a")</formula>
    </cfRule>
    <cfRule type="expression" dxfId="1301" priority="4">
      <formula>COUNTIF(T5,"9")</formula>
    </cfRule>
    <cfRule type="expression" dxfId="1300" priority="5">
      <formula>COUNTIF(T5,"k")</formula>
    </cfRule>
    <cfRule type="expression" dxfId="1299" priority="6">
      <formula>COUNTIF(T5,"u")</formula>
    </cfRule>
    <cfRule type="expression" dxfId="1298" priority="7">
      <formula>COUNTIF(T5,"f")</formula>
    </cfRule>
    <cfRule type="expression" dxfId="1297" priority="8">
      <formula>COUNTIF(T5,"8")</formula>
    </cfRule>
    <cfRule type="expression" dxfId="1296" priority="9">
      <formula>COUNTIF(T5,"7")</formula>
    </cfRule>
    <cfRule type="expression" dxfId="1295" priority="10">
      <formula>COUNTIF(T5,"3")</formula>
    </cfRule>
    <cfRule type="expression" dxfId="1294" priority="12">
      <formula>COUNTIF(T5,"5")</formula>
    </cfRule>
    <cfRule type="expression" dxfId="1293" priority="13">
      <formula>COUNTIF(T5,"2")</formula>
    </cfRule>
    <cfRule type="expression" dxfId="1292" priority="14">
      <formula>COUNTIF(T5,"4")</formula>
    </cfRule>
    <cfRule type="expression" dxfId="1291" priority="15">
      <formula>COUNTIF(T5,"1")</formula>
    </cfRule>
  </conditionalFormatting>
  <conditionalFormatting sqref="U5:U36">
    <cfRule type="expression" dxfId="1290" priority="11">
      <formula>COUNTIF(T5,"6")</formula>
    </cfRule>
  </conditionalFormatting>
  <conditionalFormatting sqref="V32">
    <cfRule type="cellIs" dxfId="1289" priority="1" operator="lessThan">
      <formula>0</formula>
    </cfRule>
    <cfRule type="cellIs" dxfId="128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35FE74CE-BB44-BE4A-94F5-4BB37A46AC0B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634EC-0395-1A46-ACCD-F0CFA00FED51}">
  <sheetPr codeName="Tabelle92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47</v>
      </c>
      <c r="Q1" s="176"/>
      <c r="R1" s="79">
        <f>DATE(V1,1,7*P1-3-WEEKDAY(DATE(V1,,),3))</f>
        <v>45614</v>
      </c>
      <c r="S1" s="80" t="s">
        <v>1</v>
      </c>
      <c r="T1" s="177">
        <f>DATE(V1,1,7*P1+3-WEEKDAY(DATE(V1,,),3))</f>
        <v>45620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45614</v>
      </c>
      <c r="B2" s="178"/>
      <c r="C2" s="178"/>
      <c r="D2" s="178">
        <f>A2+1</f>
        <v>45615</v>
      </c>
      <c r="E2" s="179"/>
      <c r="F2" s="179"/>
      <c r="G2" s="178">
        <f>D2+1</f>
        <v>45616</v>
      </c>
      <c r="H2" s="179"/>
      <c r="I2" s="179"/>
      <c r="J2" s="178">
        <f>G2+1</f>
        <v>45617</v>
      </c>
      <c r="K2" s="179"/>
      <c r="L2" s="179"/>
      <c r="M2" s="178">
        <f>J2+1</f>
        <v>45618</v>
      </c>
      <c r="N2" s="179"/>
      <c r="O2" s="179"/>
      <c r="P2" s="178">
        <f>M2+1</f>
        <v>45619</v>
      </c>
      <c r="Q2" s="179"/>
      <c r="R2" s="179"/>
      <c r="S2" s="178">
        <f>P2+1</f>
        <v>45620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45614</v>
      </c>
      <c r="B3" s="168"/>
      <c r="C3" s="168"/>
      <c r="D3" s="168">
        <f>A3+1</f>
        <v>45615</v>
      </c>
      <c r="E3" s="168"/>
      <c r="F3" s="168"/>
      <c r="G3" s="168">
        <f>D3+1</f>
        <v>45616</v>
      </c>
      <c r="H3" s="168"/>
      <c r="I3" s="168"/>
      <c r="J3" s="168">
        <f>G3+1</f>
        <v>45617</v>
      </c>
      <c r="K3" s="168"/>
      <c r="L3" s="168"/>
      <c r="M3" s="168">
        <f>J3+1</f>
        <v>45618</v>
      </c>
      <c r="N3" s="168"/>
      <c r="O3" s="168"/>
      <c r="P3" s="168">
        <f>M3+1</f>
        <v>45619</v>
      </c>
      <c r="Q3" s="168"/>
      <c r="R3" s="168"/>
      <c r="S3" s="168">
        <f>P3+1</f>
        <v>45620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45614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45615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45616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45617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45618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45619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45620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46'!V32</f>
        <v>-1840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-1880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287" priority="159">
      <formula>COUNTIF(B5,"a")</formula>
    </cfRule>
    <cfRule type="expression" dxfId="1286" priority="161">
      <formula>COUNTIF(B5,"9")</formula>
    </cfRule>
    <cfRule type="expression" dxfId="1285" priority="163">
      <formula>COUNTIF(B5,"k")</formula>
    </cfRule>
    <cfRule type="expression" dxfId="1284" priority="164">
      <formula>COUNTIF(B5,"u")</formula>
    </cfRule>
    <cfRule type="expression" dxfId="1283" priority="167">
      <formula>COUNTIF(B5,"f")</formula>
    </cfRule>
    <cfRule type="expression" dxfId="1282" priority="168">
      <formula>COUNTIF(B5,"8")</formula>
    </cfRule>
    <cfRule type="expression" dxfId="1281" priority="169">
      <formula>COUNTIF(B5,"7")</formula>
    </cfRule>
    <cfRule type="expression" dxfId="1280" priority="170">
      <formula>COUNTIF(B5,"3")</formula>
    </cfRule>
    <cfRule type="expression" dxfId="1279" priority="181">
      <formula>COUNTIF(B5,"5")</formula>
    </cfRule>
    <cfRule type="expression" dxfId="1278" priority="182">
      <formula>COUNTIF(B5,"2")</formula>
    </cfRule>
    <cfRule type="expression" dxfId="1277" priority="183">
      <formula>COUNTIF(B5,"4")</formula>
    </cfRule>
    <cfRule type="expression" dxfId="1276" priority="184">
      <formula>COUNTIF(B5,"1")</formula>
    </cfRule>
  </conditionalFormatting>
  <conditionalFormatting sqref="B5:B36">
    <cfRule type="cellIs" dxfId="1275" priority="160" operator="equal">
      <formula>"a"</formula>
    </cfRule>
    <cfRule type="cellIs" dxfId="1274" priority="162" operator="equal">
      <formula>"k"</formula>
    </cfRule>
    <cfRule type="cellIs" dxfId="1273" priority="165" operator="equal">
      <formula>"u"</formula>
    </cfRule>
    <cfRule type="cellIs" dxfId="1272" priority="166" operator="equal">
      <formula>"f"</formula>
    </cfRule>
    <cfRule type="cellIs" dxfId="1271" priority="171" operator="equal">
      <formula>9</formula>
    </cfRule>
    <cfRule type="cellIs" dxfId="1270" priority="172" operator="equal">
      <formula>8</formula>
    </cfRule>
    <cfRule type="cellIs" dxfId="1269" priority="173" operator="equal">
      <formula>5</formula>
    </cfRule>
    <cfRule type="cellIs" dxfId="1268" priority="174" operator="equal">
      <formula>3</formula>
    </cfRule>
    <cfRule type="cellIs" dxfId="1267" priority="176" operator="equal">
      <formula>6</formula>
    </cfRule>
    <cfRule type="cellIs" dxfId="1266" priority="177" operator="equal">
      <formula>4</formula>
    </cfRule>
    <cfRule type="cellIs" dxfId="1265" priority="178" operator="equal">
      <formula>2</formula>
    </cfRule>
    <cfRule type="cellIs" dxfId="1264" priority="179" operator="equal">
      <formula>7</formula>
    </cfRule>
    <cfRule type="cellIs" dxfId="1263" priority="180" operator="equal">
      <formula>1</formula>
    </cfRule>
  </conditionalFormatting>
  <conditionalFormatting sqref="C5:C36">
    <cfRule type="expression" dxfId="1262" priority="175">
      <formula>COUNTIF(B5,"6")</formula>
    </cfRule>
  </conditionalFormatting>
  <conditionalFormatting sqref="E5:E36">
    <cfRule type="cellIs" dxfId="1261" priority="146" operator="equal">
      <formula>"a"</formula>
    </cfRule>
    <cfRule type="cellIs" dxfId="1260" priority="147" operator="equal">
      <formula>"k"</formula>
    </cfRule>
    <cfRule type="cellIs" dxfId="1259" priority="148" operator="equal">
      <formula>"u"</formula>
    </cfRule>
    <cfRule type="cellIs" dxfId="1258" priority="149" operator="equal">
      <formula>"f"</formula>
    </cfRule>
    <cfRule type="cellIs" dxfId="1257" priority="150" operator="equal">
      <formula>9</formula>
    </cfRule>
    <cfRule type="cellIs" dxfId="1256" priority="151" operator="equal">
      <formula>8</formula>
    </cfRule>
    <cfRule type="cellIs" dxfId="1255" priority="152" operator="equal">
      <formula>5</formula>
    </cfRule>
    <cfRule type="cellIs" dxfId="1254" priority="153" operator="equal">
      <formula>3</formula>
    </cfRule>
    <cfRule type="cellIs" dxfId="1253" priority="154" operator="equal">
      <formula>6</formula>
    </cfRule>
    <cfRule type="cellIs" dxfId="1252" priority="155" operator="equal">
      <formula>4</formula>
    </cfRule>
    <cfRule type="cellIs" dxfId="1251" priority="156" operator="equal">
      <formula>2</formula>
    </cfRule>
    <cfRule type="cellIs" dxfId="1250" priority="157" operator="equal">
      <formula>7</formula>
    </cfRule>
    <cfRule type="cellIs" dxfId="1249" priority="158" operator="equal">
      <formula>1</formula>
    </cfRule>
  </conditionalFormatting>
  <conditionalFormatting sqref="H5:H36">
    <cfRule type="cellIs" dxfId="1248" priority="133" operator="equal">
      <formula>"a"</formula>
    </cfRule>
    <cfRule type="cellIs" dxfId="1247" priority="134" operator="equal">
      <formula>"k"</formula>
    </cfRule>
    <cfRule type="cellIs" dxfId="1246" priority="135" operator="equal">
      <formula>"u"</formula>
    </cfRule>
    <cfRule type="cellIs" dxfId="1245" priority="136" operator="equal">
      <formula>"f"</formula>
    </cfRule>
    <cfRule type="cellIs" dxfId="1244" priority="137" operator="equal">
      <formula>9</formula>
    </cfRule>
    <cfRule type="cellIs" dxfId="1243" priority="138" operator="equal">
      <formula>8</formula>
    </cfRule>
    <cfRule type="cellIs" dxfId="1242" priority="139" operator="equal">
      <formula>5</formula>
    </cfRule>
    <cfRule type="cellIs" dxfId="1241" priority="140" operator="equal">
      <formula>3</formula>
    </cfRule>
    <cfRule type="cellIs" dxfId="1240" priority="141" operator="equal">
      <formula>6</formula>
    </cfRule>
    <cfRule type="cellIs" dxfId="1239" priority="142" operator="equal">
      <formula>4</formula>
    </cfRule>
    <cfRule type="cellIs" dxfId="1238" priority="143" operator="equal">
      <formula>2</formula>
    </cfRule>
    <cfRule type="cellIs" dxfId="1237" priority="144" operator="equal">
      <formula>7</formula>
    </cfRule>
    <cfRule type="cellIs" dxfId="1236" priority="145" operator="equal">
      <formula>1</formula>
    </cfRule>
  </conditionalFormatting>
  <conditionalFormatting sqref="K5:K36">
    <cfRule type="cellIs" dxfId="1235" priority="120" operator="equal">
      <formula>"a"</formula>
    </cfRule>
    <cfRule type="cellIs" dxfId="1234" priority="121" operator="equal">
      <formula>"k"</formula>
    </cfRule>
    <cfRule type="cellIs" dxfId="1233" priority="122" operator="equal">
      <formula>"u"</formula>
    </cfRule>
    <cfRule type="cellIs" dxfId="1232" priority="123" operator="equal">
      <formula>"f"</formula>
    </cfRule>
    <cfRule type="cellIs" dxfId="1231" priority="124" operator="equal">
      <formula>9</formula>
    </cfRule>
    <cfRule type="cellIs" dxfId="1230" priority="125" operator="equal">
      <formula>8</formula>
    </cfRule>
    <cfRule type="cellIs" dxfId="1229" priority="126" operator="equal">
      <formula>5</formula>
    </cfRule>
    <cfRule type="cellIs" dxfId="1228" priority="127" operator="equal">
      <formula>3</formula>
    </cfRule>
    <cfRule type="cellIs" dxfId="1227" priority="128" operator="equal">
      <formula>6</formula>
    </cfRule>
    <cfRule type="cellIs" dxfId="1226" priority="129" operator="equal">
      <formula>4</formula>
    </cfRule>
    <cfRule type="cellIs" dxfId="1225" priority="130" operator="equal">
      <formula>2</formula>
    </cfRule>
    <cfRule type="cellIs" dxfId="1224" priority="131" operator="equal">
      <formula>7</formula>
    </cfRule>
    <cfRule type="cellIs" dxfId="1223" priority="132" operator="equal">
      <formula>1</formula>
    </cfRule>
  </conditionalFormatting>
  <conditionalFormatting sqref="N5:N36">
    <cfRule type="cellIs" dxfId="1222" priority="107" operator="equal">
      <formula>"a"</formula>
    </cfRule>
    <cfRule type="cellIs" dxfId="1221" priority="108" operator="equal">
      <formula>"k"</formula>
    </cfRule>
    <cfRule type="cellIs" dxfId="1220" priority="109" operator="equal">
      <formula>"u"</formula>
    </cfRule>
    <cfRule type="cellIs" dxfId="1219" priority="110" operator="equal">
      <formula>"f"</formula>
    </cfRule>
    <cfRule type="cellIs" dxfId="1218" priority="111" operator="equal">
      <formula>9</formula>
    </cfRule>
    <cfRule type="cellIs" dxfId="1217" priority="112" operator="equal">
      <formula>8</formula>
    </cfRule>
    <cfRule type="cellIs" dxfId="1216" priority="113" operator="equal">
      <formula>5</formula>
    </cfRule>
    <cfRule type="cellIs" dxfId="1215" priority="114" operator="equal">
      <formula>3</formula>
    </cfRule>
    <cfRule type="cellIs" dxfId="1214" priority="115" operator="equal">
      <formula>6</formula>
    </cfRule>
    <cfRule type="cellIs" dxfId="1213" priority="116" operator="equal">
      <formula>4</formula>
    </cfRule>
    <cfRule type="cellIs" dxfId="1212" priority="117" operator="equal">
      <formula>2</formula>
    </cfRule>
    <cfRule type="cellIs" dxfId="1211" priority="118" operator="equal">
      <formula>7</formula>
    </cfRule>
    <cfRule type="cellIs" dxfId="1210" priority="119" operator="equal">
      <formula>1</formula>
    </cfRule>
  </conditionalFormatting>
  <conditionalFormatting sqref="Q5:Q36">
    <cfRule type="cellIs" dxfId="1209" priority="94" operator="equal">
      <formula>"a"</formula>
    </cfRule>
    <cfRule type="cellIs" dxfId="1208" priority="95" operator="equal">
      <formula>"k"</formula>
    </cfRule>
    <cfRule type="cellIs" dxfId="1207" priority="96" operator="equal">
      <formula>"u"</formula>
    </cfRule>
    <cfRule type="cellIs" dxfId="1206" priority="97" operator="equal">
      <formula>"f"</formula>
    </cfRule>
    <cfRule type="cellIs" dxfId="1205" priority="98" operator="equal">
      <formula>9</formula>
    </cfRule>
    <cfRule type="cellIs" dxfId="1204" priority="99" operator="equal">
      <formula>8</formula>
    </cfRule>
    <cfRule type="cellIs" dxfId="1203" priority="100" operator="equal">
      <formula>5</formula>
    </cfRule>
    <cfRule type="cellIs" dxfId="1202" priority="101" operator="equal">
      <formula>3</formula>
    </cfRule>
    <cfRule type="cellIs" dxfId="1201" priority="102" operator="equal">
      <formula>6</formula>
    </cfRule>
    <cfRule type="cellIs" dxfId="1200" priority="103" operator="equal">
      <formula>4</formula>
    </cfRule>
    <cfRule type="cellIs" dxfId="1199" priority="104" operator="equal">
      <formula>2</formula>
    </cfRule>
    <cfRule type="cellIs" dxfId="1198" priority="105" operator="equal">
      <formula>7</formula>
    </cfRule>
    <cfRule type="cellIs" dxfId="1197" priority="106" operator="equal">
      <formula>1</formula>
    </cfRule>
  </conditionalFormatting>
  <conditionalFormatting sqref="T5:T36">
    <cfRule type="cellIs" dxfId="1196" priority="81" operator="equal">
      <formula>"a"</formula>
    </cfRule>
    <cfRule type="cellIs" dxfId="1195" priority="82" operator="equal">
      <formula>"k"</formula>
    </cfRule>
    <cfRule type="cellIs" dxfId="1194" priority="83" operator="equal">
      <formula>"u"</formula>
    </cfRule>
    <cfRule type="cellIs" dxfId="1193" priority="84" operator="equal">
      <formula>"f"</formula>
    </cfRule>
    <cfRule type="cellIs" dxfId="1192" priority="85" operator="equal">
      <formula>9</formula>
    </cfRule>
    <cfRule type="cellIs" dxfId="1191" priority="86" operator="equal">
      <formula>8</formula>
    </cfRule>
    <cfRule type="cellIs" dxfId="1190" priority="87" operator="equal">
      <formula>5</formula>
    </cfRule>
    <cfRule type="cellIs" dxfId="1189" priority="88" operator="equal">
      <formula>3</formula>
    </cfRule>
    <cfRule type="cellIs" dxfId="1188" priority="89" operator="equal">
      <formula>6</formula>
    </cfRule>
    <cfRule type="cellIs" dxfId="1187" priority="90" operator="equal">
      <formula>4</formula>
    </cfRule>
    <cfRule type="cellIs" dxfId="1186" priority="91" operator="equal">
      <formula>2</formula>
    </cfRule>
    <cfRule type="cellIs" dxfId="1185" priority="92" operator="equal">
      <formula>7</formula>
    </cfRule>
    <cfRule type="cellIs" dxfId="1184" priority="93" operator="equal">
      <formula>1</formula>
    </cfRule>
  </conditionalFormatting>
  <conditionalFormatting sqref="F5:F36">
    <cfRule type="expression" dxfId="1183" priority="68">
      <formula>COUNTIF(E5,"a")</formula>
    </cfRule>
    <cfRule type="expression" dxfId="1182" priority="69">
      <formula>COUNTIF(E5,"9")</formula>
    </cfRule>
    <cfRule type="expression" dxfId="1181" priority="70">
      <formula>COUNTIF(E5,"k")</formula>
    </cfRule>
    <cfRule type="expression" dxfId="1180" priority="71">
      <formula>COUNTIF(E5,"u")</formula>
    </cfRule>
    <cfRule type="expression" dxfId="1179" priority="72">
      <formula>COUNTIF(E5,"f")</formula>
    </cfRule>
    <cfRule type="expression" dxfId="1178" priority="73">
      <formula>COUNTIF(E5,"8")</formula>
    </cfRule>
    <cfRule type="expression" dxfId="1177" priority="74">
      <formula>COUNTIF(E5,"7")</formula>
    </cfRule>
    <cfRule type="expression" dxfId="1176" priority="75">
      <formula>COUNTIF(E5,"3")</formula>
    </cfRule>
    <cfRule type="expression" dxfId="1175" priority="77">
      <formula>COUNTIF(E5,"5")</formula>
    </cfRule>
    <cfRule type="expression" dxfId="1174" priority="78">
      <formula>COUNTIF(E5,"2")</formula>
    </cfRule>
    <cfRule type="expression" dxfId="1173" priority="79">
      <formula>COUNTIF(E5,"4")</formula>
    </cfRule>
    <cfRule type="expression" dxfId="1172" priority="80">
      <formula>COUNTIF(E5,"1")</formula>
    </cfRule>
  </conditionalFormatting>
  <conditionalFormatting sqref="F5:F36">
    <cfRule type="expression" dxfId="1171" priority="76">
      <formula>COUNTIF(E5,"6")</formula>
    </cfRule>
  </conditionalFormatting>
  <conditionalFormatting sqref="I5:I36">
    <cfRule type="expression" dxfId="1170" priority="55">
      <formula>COUNTIF(H5,"a")</formula>
    </cfRule>
    <cfRule type="expression" dxfId="1169" priority="56">
      <formula>COUNTIF(H5,"9")</formula>
    </cfRule>
    <cfRule type="expression" dxfId="1168" priority="57">
      <formula>COUNTIF(H5,"k")</formula>
    </cfRule>
    <cfRule type="expression" dxfId="1167" priority="58">
      <formula>COUNTIF(H5,"u")</formula>
    </cfRule>
    <cfRule type="expression" dxfId="1166" priority="59">
      <formula>COUNTIF(H5,"f")</formula>
    </cfRule>
    <cfRule type="expression" dxfId="1165" priority="60">
      <formula>COUNTIF(H5,"8")</formula>
    </cfRule>
    <cfRule type="expression" dxfId="1164" priority="61">
      <formula>COUNTIF(H5,"7")</formula>
    </cfRule>
    <cfRule type="expression" dxfId="1163" priority="62">
      <formula>COUNTIF(H5,"3")</formula>
    </cfRule>
    <cfRule type="expression" dxfId="1162" priority="64">
      <formula>COUNTIF(H5,"5")</formula>
    </cfRule>
    <cfRule type="expression" dxfId="1161" priority="65">
      <formula>COUNTIF(H5,"2")</formula>
    </cfRule>
    <cfRule type="expression" dxfId="1160" priority="66">
      <formula>COUNTIF(H5,"4")</formula>
    </cfRule>
    <cfRule type="expression" dxfId="1159" priority="67">
      <formula>COUNTIF(H5,"1")</formula>
    </cfRule>
  </conditionalFormatting>
  <conditionalFormatting sqref="I5:I36">
    <cfRule type="expression" dxfId="1158" priority="63">
      <formula>COUNTIF(H5,"6")</formula>
    </cfRule>
  </conditionalFormatting>
  <conditionalFormatting sqref="L5:L36">
    <cfRule type="expression" dxfId="1157" priority="42">
      <formula>COUNTIF(K5,"a")</formula>
    </cfRule>
    <cfRule type="expression" dxfId="1156" priority="43">
      <formula>COUNTIF(K5,"9")</formula>
    </cfRule>
    <cfRule type="expression" dxfId="1155" priority="44">
      <formula>COUNTIF(K5,"k")</formula>
    </cfRule>
    <cfRule type="expression" dxfId="1154" priority="45">
      <formula>COUNTIF(K5,"u")</formula>
    </cfRule>
    <cfRule type="expression" dxfId="1153" priority="46">
      <formula>COUNTIF(K5,"f")</formula>
    </cfRule>
    <cfRule type="expression" dxfId="1152" priority="47">
      <formula>COUNTIF(K5,"8")</formula>
    </cfRule>
    <cfRule type="expression" dxfId="1151" priority="48">
      <formula>COUNTIF(K5,"7")</formula>
    </cfRule>
    <cfRule type="expression" dxfId="1150" priority="49">
      <formula>COUNTIF(K5,"3")</formula>
    </cfRule>
    <cfRule type="expression" dxfId="1149" priority="51">
      <formula>COUNTIF(K5,"5")</formula>
    </cfRule>
    <cfRule type="expression" dxfId="1148" priority="52">
      <formula>COUNTIF(K5,"2")</formula>
    </cfRule>
    <cfRule type="expression" dxfId="1147" priority="53">
      <formula>COUNTIF(K5,"4")</formula>
    </cfRule>
    <cfRule type="expression" dxfId="1146" priority="54">
      <formula>COUNTIF(K5,"1")</formula>
    </cfRule>
  </conditionalFormatting>
  <conditionalFormatting sqref="L5:L36">
    <cfRule type="expression" dxfId="1145" priority="50">
      <formula>COUNTIF(K5,"6")</formula>
    </cfRule>
  </conditionalFormatting>
  <conditionalFormatting sqref="O5:O36">
    <cfRule type="expression" dxfId="1144" priority="29">
      <formula>COUNTIF(N5,"a")</formula>
    </cfRule>
    <cfRule type="expression" dxfId="1143" priority="30">
      <formula>COUNTIF(N5,"9")</formula>
    </cfRule>
    <cfRule type="expression" dxfId="1142" priority="31">
      <formula>COUNTIF(N5,"k")</formula>
    </cfRule>
    <cfRule type="expression" dxfId="1141" priority="32">
      <formula>COUNTIF(N5,"u")</formula>
    </cfRule>
    <cfRule type="expression" dxfId="1140" priority="33">
      <formula>COUNTIF(N5,"f")</formula>
    </cfRule>
    <cfRule type="expression" dxfId="1139" priority="34">
      <formula>COUNTIF(N5,"8")</formula>
    </cfRule>
    <cfRule type="expression" dxfId="1138" priority="35">
      <formula>COUNTIF(N5,"7")</formula>
    </cfRule>
    <cfRule type="expression" dxfId="1137" priority="36">
      <formula>COUNTIF(N5,"3")</formula>
    </cfRule>
    <cfRule type="expression" dxfId="1136" priority="38">
      <formula>COUNTIF(N5,"5")</formula>
    </cfRule>
    <cfRule type="expression" dxfId="1135" priority="39">
      <formula>COUNTIF(N5,"2")</formula>
    </cfRule>
    <cfRule type="expression" dxfId="1134" priority="40">
      <formula>COUNTIF(N5,"4")</formula>
    </cfRule>
    <cfRule type="expression" dxfId="1133" priority="41">
      <formula>COUNTIF(N5,"1")</formula>
    </cfRule>
  </conditionalFormatting>
  <conditionalFormatting sqref="O5:O36">
    <cfRule type="expression" dxfId="1132" priority="37">
      <formula>COUNTIF(N5,"6")</formula>
    </cfRule>
  </conditionalFormatting>
  <conditionalFormatting sqref="R5:R36">
    <cfRule type="expression" dxfId="1131" priority="16">
      <formula>COUNTIF(Q5,"a")</formula>
    </cfRule>
    <cfRule type="expression" dxfId="1130" priority="17">
      <formula>COUNTIF(Q5,"9")</formula>
    </cfRule>
    <cfRule type="expression" dxfId="1129" priority="18">
      <formula>COUNTIF(Q5,"k")</formula>
    </cfRule>
    <cfRule type="expression" dxfId="1128" priority="19">
      <formula>COUNTIF(Q5,"u")</formula>
    </cfRule>
    <cfRule type="expression" dxfId="1127" priority="20">
      <formula>COUNTIF(Q5,"f")</formula>
    </cfRule>
    <cfRule type="expression" dxfId="1126" priority="21">
      <formula>COUNTIF(Q5,"8")</formula>
    </cfRule>
    <cfRule type="expression" dxfId="1125" priority="22">
      <formula>COUNTIF(Q5,"7")</formula>
    </cfRule>
    <cfRule type="expression" dxfId="1124" priority="23">
      <formula>COUNTIF(Q5,"3")</formula>
    </cfRule>
    <cfRule type="expression" dxfId="1123" priority="25">
      <formula>COUNTIF(Q5,"5")</formula>
    </cfRule>
    <cfRule type="expression" dxfId="1122" priority="26">
      <formula>COUNTIF(Q5,"2")</formula>
    </cfRule>
    <cfRule type="expression" dxfId="1121" priority="27">
      <formula>COUNTIF(Q5,"4")</formula>
    </cfRule>
    <cfRule type="expression" dxfId="1120" priority="28">
      <formula>COUNTIF(Q5,"1")</formula>
    </cfRule>
  </conditionalFormatting>
  <conditionalFormatting sqref="R5:R36">
    <cfRule type="expression" dxfId="1119" priority="24">
      <formula>COUNTIF(Q5,"6")</formula>
    </cfRule>
  </conditionalFormatting>
  <conditionalFormatting sqref="U5:U36">
    <cfRule type="expression" dxfId="1118" priority="3">
      <formula>COUNTIF(T5,"a")</formula>
    </cfRule>
    <cfRule type="expression" dxfId="1117" priority="4">
      <formula>COUNTIF(T5,"9")</formula>
    </cfRule>
    <cfRule type="expression" dxfId="1116" priority="5">
      <formula>COUNTIF(T5,"k")</formula>
    </cfRule>
    <cfRule type="expression" dxfId="1115" priority="6">
      <formula>COUNTIF(T5,"u")</formula>
    </cfRule>
    <cfRule type="expression" dxfId="1114" priority="7">
      <formula>COUNTIF(T5,"f")</formula>
    </cfRule>
    <cfRule type="expression" dxfId="1113" priority="8">
      <formula>COUNTIF(T5,"8")</formula>
    </cfRule>
    <cfRule type="expression" dxfId="1112" priority="9">
      <formula>COUNTIF(T5,"7")</formula>
    </cfRule>
    <cfRule type="expression" dxfId="1111" priority="10">
      <formula>COUNTIF(T5,"3")</formula>
    </cfRule>
    <cfRule type="expression" dxfId="1110" priority="12">
      <formula>COUNTIF(T5,"5")</formula>
    </cfRule>
    <cfRule type="expression" dxfId="1109" priority="13">
      <formula>COUNTIF(T5,"2")</formula>
    </cfRule>
    <cfRule type="expression" dxfId="1108" priority="14">
      <formula>COUNTIF(T5,"4")</formula>
    </cfRule>
    <cfRule type="expression" dxfId="1107" priority="15">
      <formula>COUNTIF(T5,"1")</formula>
    </cfRule>
  </conditionalFormatting>
  <conditionalFormatting sqref="U5:U36">
    <cfRule type="expression" dxfId="1106" priority="11">
      <formula>COUNTIF(T5,"6")</formula>
    </cfRule>
  </conditionalFormatting>
  <conditionalFormatting sqref="V32">
    <cfRule type="cellIs" dxfId="1105" priority="1" operator="lessThan">
      <formula>0</formula>
    </cfRule>
    <cfRule type="cellIs" dxfId="110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71C2E4C8-EC1E-0E4E-9553-DC52171017B5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5360-DC7F-BA4E-AE13-9E9C4D0EB4B1}">
  <sheetPr codeName="Tabelle93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48</v>
      </c>
      <c r="Q1" s="176"/>
      <c r="R1" s="79">
        <f>DATE(V1,1,7*P1-3-WEEKDAY(DATE(V1,,),3))</f>
        <v>45621</v>
      </c>
      <c r="S1" s="80" t="s">
        <v>1</v>
      </c>
      <c r="T1" s="177">
        <f>DATE(V1,1,7*P1+3-WEEKDAY(DATE(V1,,),3))</f>
        <v>45627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45621</v>
      </c>
      <c r="B2" s="178"/>
      <c r="C2" s="178"/>
      <c r="D2" s="178">
        <f>A2+1</f>
        <v>45622</v>
      </c>
      <c r="E2" s="179"/>
      <c r="F2" s="179"/>
      <c r="G2" s="178">
        <f>D2+1</f>
        <v>45623</v>
      </c>
      <c r="H2" s="179"/>
      <c r="I2" s="179"/>
      <c r="J2" s="178">
        <f>G2+1</f>
        <v>45624</v>
      </c>
      <c r="K2" s="179"/>
      <c r="L2" s="179"/>
      <c r="M2" s="178">
        <f>J2+1</f>
        <v>45625</v>
      </c>
      <c r="N2" s="179"/>
      <c r="O2" s="179"/>
      <c r="P2" s="178">
        <f>M2+1</f>
        <v>45626</v>
      </c>
      <c r="Q2" s="179"/>
      <c r="R2" s="179"/>
      <c r="S2" s="178">
        <f>P2+1</f>
        <v>45627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45621</v>
      </c>
      <c r="B3" s="168"/>
      <c r="C3" s="168"/>
      <c r="D3" s="168">
        <f>A3+1</f>
        <v>45622</v>
      </c>
      <c r="E3" s="168"/>
      <c r="F3" s="168"/>
      <c r="G3" s="168">
        <f>D3+1</f>
        <v>45623</v>
      </c>
      <c r="H3" s="168"/>
      <c r="I3" s="168"/>
      <c r="J3" s="168">
        <f>G3+1</f>
        <v>45624</v>
      </c>
      <c r="K3" s="168"/>
      <c r="L3" s="168"/>
      <c r="M3" s="168">
        <f>J3+1</f>
        <v>45625</v>
      </c>
      <c r="N3" s="168"/>
      <c r="O3" s="168"/>
      <c r="P3" s="168">
        <f>M3+1</f>
        <v>45626</v>
      </c>
      <c r="Q3" s="168"/>
      <c r="R3" s="168"/>
      <c r="S3" s="168">
        <f>P3+1</f>
        <v>45627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45621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45622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45623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45624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45625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45626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45627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47'!V32</f>
        <v>-1880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-1920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103" priority="159">
      <formula>COUNTIF(B5,"a")</formula>
    </cfRule>
    <cfRule type="expression" dxfId="1102" priority="161">
      <formula>COUNTIF(B5,"9")</formula>
    </cfRule>
    <cfRule type="expression" dxfId="1101" priority="163">
      <formula>COUNTIF(B5,"k")</formula>
    </cfRule>
    <cfRule type="expression" dxfId="1100" priority="164">
      <formula>COUNTIF(B5,"u")</formula>
    </cfRule>
    <cfRule type="expression" dxfId="1099" priority="167">
      <formula>COUNTIF(B5,"f")</formula>
    </cfRule>
    <cfRule type="expression" dxfId="1098" priority="168">
      <formula>COUNTIF(B5,"8")</formula>
    </cfRule>
    <cfRule type="expression" dxfId="1097" priority="169">
      <formula>COUNTIF(B5,"7")</formula>
    </cfRule>
    <cfRule type="expression" dxfId="1096" priority="170">
      <formula>COUNTIF(B5,"3")</formula>
    </cfRule>
    <cfRule type="expression" dxfId="1095" priority="181">
      <formula>COUNTIF(B5,"5")</formula>
    </cfRule>
    <cfRule type="expression" dxfId="1094" priority="182">
      <formula>COUNTIF(B5,"2")</formula>
    </cfRule>
    <cfRule type="expression" dxfId="1093" priority="183">
      <formula>COUNTIF(B5,"4")</formula>
    </cfRule>
    <cfRule type="expression" dxfId="1092" priority="184">
      <formula>COUNTIF(B5,"1")</formula>
    </cfRule>
  </conditionalFormatting>
  <conditionalFormatting sqref="B5:B36">
    <cfRule type="cellIs" dxfId="1091" priority="160" operator="equal">
      <formula>"a"</formula>
    </cfRule>
    <cfRule type="cellIs" dxfId="1090" priority="162" operator="equal">
      <formula>"k"</formula>
    </cfRule>
    <cfRule type="cellIs" dxfId="1089" priority="165" operator="equal">
      <formula>"u"</formula>
    </cfRule>
    <cfRule type="cellIs" dxfId="1088" priority="166" operator="equal">
      <formula>"f"</formula>
    </cfRule>
    <cfRule type="cellIs" dxfId="1087" priority="171" operator="equal">
      <formula>9</formula>
    </cfRule>
    <cfRule type="cellIs" dxfId="1086" priority="172" operator="equal">
      <formula>8</formula>
    </cfRule>
    <cfRule type="cellIs" dxfId="1085" priority="173" operator="equal">
      <formula>5</formula>
    </cfRule>
    <cfRule type="cellIs" dxfId="1084" priority="174" operator="equal">
      <formula>3</formula>
    </cfRule>
    <cfRule type="cellIs" dxfId="1083" priority="176" operator="equal">
      <formula>6</formula>
    </cfRule>
    <cfRule type="cellIs" dxfId="1082" priority="177" operator="equal">
      <formula>4</formula>
    </cfRule>
    <cfRule type="cellIs" dxfId="1081" priority="178" operator="equal">
      <formula>2</formula>
    </cfRule>
    <cfRule type="cellIs" dxfId="1080" priority="179" operator="equal">
      <formula>7</formula>
    </cfRule>
    <cfRule type="cellIs" dxfId="1079" priority="180" operator="equal">
      <formula>1</formula>
    </cfRule>
  </conditionalFormatting>
  <conditionalFormatting sqref="C5:C36">
    <cfRule type="expression" dxfId="1078" priority="175">
      <formula>COUNTIF(B5,"6")</formula>
    </cfRule>
  </conditionalFormatting>
  <conditionalFormatting sqref="E5:E36">
    <cfRule type="cellIs" dxfId="1077" priority="146" operator="equal">
      <formula>"a"</formula>
    </cfRule>
    <cfRule type="cellIs" dxfId="1076" priority="147" operator="equal">
      <formula>"k"</formula>
    </cfRule>
    <cfRule type="cellIs" dxfId="1075" priority="148" operator="equal">
      <formula>"u"</formula>
    </cfRule>
    <cfRule type="cellIs" dxfId="1074" priority="149" operator="equal">
      <formula>"f"</formula>
    </cfRule>
    <cfRule type="cellIs" dxfId="1073" priority="150" operator="equal">
      <formula>9</formula>
    </cfRule>
    <cfRule type="cellIs" dxfId="1072" priority="151" operator="equal">
      <formula>8</formula>
    </cfRule>
    <cfRule type="cellIs" dxfId="1071" priority="152" operator="equal">
      <formula>5</formula>
    </cfRule>
    <cfRule type="cellIs" dxfId="1070" priority="153" operator="equal">
      <formula>3</formula>
    </cfRule>
    <cfRule type="cellIs" dxfId="1069" priority="154" operator="equal">
      <formula>6</formula>
    </cfRule>
    <cfRule type="cellIs" dxfId="1068" priority="155" operator="equal">
      <formula>4</formula>
    </cfRule>
    <cfRule type="cellIs" dxfId="1067" priority="156" operator="equal">
      <formula>2</formula>
    </cfRule>
    <cfRule type="cellIs" dxfId="1066" priority="157" operator="equal">
      <formula>7</formula>
    </cfRule>
    <cfRule type="cellIs" dxfId="1065" priority="158" operator="equal">
      <formula>1</formula>
    </cfRule>
  </conditionalFormatting>
  <conditionalFormatting sqref="H5:H36">
    <cfRule type="cellIs" dxfId="1064" priority="133" operator="equal">
      <formula>"a"</formula>
    </cfRule>
    <cfRule type="cellIs" dxfId="1063" priority="134" operator="equal">
      <formula>"k"</formula>
    </cfRule>
    <cfRule type="cellIs" dxfId="1062" priority="135" operator="equal">
      <formula>"u"</formula>
    </cfRule>
    <cfRule type="cellIs" dxfId="1061" priority="136" operator="equal">
      <formula>"f"</formula>
    </cfRule>
    <cfRule type="cellIs" dxfId="1060" priority="137" operator="equal">
      <formula>9</formula>
    </cfRule>
    <cfRule type="cellIs" dxfId="1059" priority="138" operator="equal">
      <formula>8</formula>
    </cfRule>
    <cfRule type="cellIs" dxfId="1058" priority="139" operator="equal">
      <formula>5</formula>
    </cfRule>
    <cfRule type="cellIs" dxfId="1057" priority="140" operator="equal">
      <formula>3</formula>
    </cfRule>
    <cfRule type="cellIs" dxfId="1056" priority="141" operator="equal">
      <formula>6</formula>
    </cfRule>
    <cfRule type="cellIs" dxfId="1055" priority="142" operator="equal">
      <formula>4</formula>
    </cfRule>
    <cfRule type="cellIs" dxfId="1054" priority="143" operator="equal">
      <formula>2</formula>
    </cfRule>
    <cfRule type="cellIs" dxfId="1053" priority="144" operator="equal">
      <formula>7</formula>
    </cfRule>
    <cfRule type="cellIs" dxfId="1052" priority="145" operator="equal">
      <formula>1</formula>
    </cfRule>
  </conditionalFormatting>
  <conditionalFormatting sqref="K5:K36">
    <cfRule type="cellIs" dxfId="1051" priority="120" operator="equal">
      <formula>"a"</formula>
    </cfRule>
    <cfRule type="cellIs" dxfId="1050" priority="121" operator="equal">
      <formula>"k"</formula>
    </cfRule>
    <cfRule type="cellIs" dxfId="1049" priority="122" operator="equal">
      <formula>"u"</formula>
    </cfRule>
    <cfRule type="cellIs" dxfId="1048" priority="123" operator="equal">
      <formula>"f"</formula>
    </cfRule>
    <cfRule type="cellIs" dxfId="1047" priority="124" operator="equal">
      <formula>9</formula>
    </cfRule>
    <cfRule type="cellIs" dxfId="1046" priority="125" operator="equal">
      <formula>8</formula>
    </cfRule>
    <cfRule type="cellIs" dxfId="1045" priority="126" operator="equal">
      <formula>5</formula>
    </cfRule>
    <cfRule type="cellIs" dxfId="1044" priority="127" operator="equal">
      <formula>3</formula>
    </cfRule>
    <cfRule type="cellIs" dxfId="1043" priority="128" operator="equal">
      <formula>6</formula>
    </cfRule>
    <cfRule type="cellIs" dxfId="1042" priority="129" operator="equal">
      <formula>4</formula>
    </cfRule>
    <cfRule type="cellIs" dxfId="1041" priority="130" operator="equal">
      <formula>2</formula>
    </cfRule>
    <cfRule type="cellIs" dxfId="1040" priority="131" operator="equal">
      <formula>7</formula>
    </cfRule>
    <cfRule type="cellIs" dxfId="1039" priority="132" operator="equal">
      <formula>1</formula>
    </cfRule>
  </conditionalFormatting>
  <conditionalFormatting sqref="N5:N36">
    <cfRule type="cellIs" dxfId="1038" priority="107" operator="equal">
      <formula>"a"</formula>
    </cfRule>
    <cfRule type="cellIs" dxfId="1037" priority="108" operator="equal">
      <formula>"k"</formula>
    </cfRule>
    <cfRule type="cellIs" dxfId="1036" priority="109" operator="equal">
      <formula>"u"</formula>
    </cfRule>
    <cfRule type="cellIs" dxfId="1035" priority="110" operator="equal">
      <formula>"f"</formula>
    </cfRule>
    <cfRule type="cellIs" dxfId="1034" priority="111" operator="equal">
      <formula>9</formula>
    </cfRule>
    <cfRule type="cellIs" dxfId="1033" priority="112" operator="equal">
      <formula>8</formula>
    </cfRule>
    <cfRule type="cellIs" dxfId="1032" priority="113" operator="equal">
      <formula>5</formula>
    </cfRule>
    <cfRule type="cellIs" dxfId="1031" priority="114" operator="equal">
      <formula>3</formula>
    </cfRule>
    <cfRule type="cellIs" dxfId="1030" priority="115" operator="equal">
      <formula>6</formula>
    </cfRule>
    <cfRule type="cellIs" dxfId="1029" priority="116" operator="equal">
      <formula>4</formula>
    </cfRule>
    <cfRule type="cellIs" dxfId="1028" priority="117" operator="equal">
      <formula>2</formula>
    </cfRule>
    <cfRule type="cellIs" dxfId="1027" priority="118" operator="equal">
      <formula>7</formula>
    </cfRule>
    <cfRule type="cellIs" dxfId="1026" priority="119" operator="equal">
      <formula>1</formula>
    </cfRule>
  </conditionalFormatting>
  <conditionalFormatting sqref="Q5:Q36">
    <cfRule type="cellIs" dxfId="1025" priority="94" operator="equal">
      <formula>"a"</formula>
    </cfRule>
    <cfRule type="cellIs" dxfId="1024" priority="95" operator="equal">
      <formula>"k"</formula>
    </cfRule>
    <cfRule type="cellIs" dxfId="1023" priority="96" operator="equal">
      <formula>"u"</formula>
    </cfRule>
    <cfRule type="cellIs" dxfId="1022" priority="97" operator="equal">
      <formula>"f"</formula>
    </cfRule>
    <cfRule type="cellIs" dxfId="1021" priority="98" operator="equal">
      <formula>9</formula>
    </cfRule>
    <cfRule type="cellIs" dxfId="1020" priority="99" operator="equal">
      <formula>8</formula>
    </cfRule>
    <cfRule type="cellIs" dxfId="1019" priority="100" operator="equal">
      <formula>5</formula>
    </cfRule>
    <cfRule type="cellIs" dxfId="1018" priority="101" operator="equal">
      <formula>3</formula>
    </cfRule>
    <cfRule type="cellIs" dxfId="1017" priority="102" operator="equal">
      <formula>6</formula>
    </cfRule>
    <cfRule type="cellIs" dxfId="1016" priority="103" operator="equal">
      <formula>4</formula>
    </cfRule>
    <cfRule type="cellIs" dxfId="1015" priority="104" operator="equal">
      <formula>2</formula>
    </cfRule>
    <cfRule type="cellIs" dxfId="1014" priority="105" operator="equal">
      <formula>7</formula>
    </cfRule>
    <cfRule type="cellIs" dxfId="1013" priority="106" operator="equal">
      <formula>1</formula>
    </cfRule>
  </conditionalFormatting>
  <conditionalFormatting sqref="T5:T36">
    <cfRule type="cellIs" dxfId="1012" priority="81" operator="equal">
      <formula>"a"</formula>
    </cfRule>
    <cfRule type="cellIs" dxfId="1011" priority="82" operator="equal">
      <formula>"k"</formula>
    </cfRule>
    <cfRule type="cellIs" dxfId="1010" priority="83" operator="equal">
      <formula>"u"</formula>
    </cfRule>
    <cfRule type="cellIs" dxfId="1009" priority="84" operator="equal">
      <formula>"f"</formula>
    </cfRule>
    <cfRule type="cellIs" dxfId="1008" priority="85" operator="equal">
      <formula>9</formula>
    </cfRule>
    <cfRule type="cellIs" dxfId="1007" priority="86" operator="equal">
      <formula>8</formula>
    </cfRule>
    <cfRule type="cellIs" dxfId="1006" priority="87" operator="equal">
      <formula>5</formula>
    </cfRule>
    <cfRule type="cellIs" dxfId="1005" priority="88" operator="equal">
      <formula>3</formula>
    </cfRule>
    <cfRule type="cellIs" dxfId="1004" priority="89" operator="equal">
      <formula>6</formula>
    </cfRule>
    <cfRule type="cellIs" dxfId="1003" priority="90" operator="equal">
      <formula>4</formula>
    </cfRule>
    <cfRule type="cellIs" dxfId="1002" priority="91" operator="equal">
      <formula>2</formula>
    </cfRule>
    <cfRule type="cellIs" dxfId="1001" priority="92" operator="equal">
      <formula>7</formula>
    </cfRule>
    <cfRule type="cellIs" dxfId="1000" priority="93" operator="equal">
      <formula>1</formula>
    </cfRule>
  </conditionalFormatting>
  <conditionalFormatting sqref="F5:F36">
    <cfRule type="expression" dxfId="999" priority="68">
      <formula>COUNTIF(E5,"a")</formula>
    </cfRule>
    <cfRule type="expression" dxfId="998" priority="69">
      <formula>COUNTIF(E5,"9")</formula>
    </cfRule>
    <cfRule type="expression" dxfId="997" priority="70">
      <formula>COUNTIF(E5,"k")</formula>
    </cfRule>
    <cfRule type="expression" dxfId="996" priority="71">
      <formula>COUNTIF(E5,"u")</formula>
    </cfRule>
    <cfRule type="expression" dxfId="995" priority="72">
      <formula>COUNTIF(E5,"f")</formula>
    </cfRule>
    <cfRule type="expression" dxfId="994" priority="73">
      <formula>COUNTIF(E5,"8")</formula>
    </cfRule>
    <cfRule type="expression" dxfId="993" priority="74">
      <formula>COUNTIF(E5,"7")</formula>
    </cfRule>
    <cfRule type="expression" dxfId="992" priority="75">
      <formula>COUNTIF(E5,"3")</formula>
    </cfRule>
    <cfRule type="expression" dxfId="991" priority="77">
      <formula>COUNTIF(E5,"5")</formula>
    </cfRule>
    <cfRule type="expression" dxfId="990" priority="78">
      <formula>COUNTIF(E5,"2")</formula>
    </cfRule>
    <cfRule type="expression" dxfId="989" priority="79">
      <formula>COUNTIF(E5,"4")</formula>
    </cfRule>
    <cfRule type="expression" dxfId="988" priority="80">
      <formula>COUNTIF(E5,"1")</formula>
    </cfRule>
  </conditionalFormatting>
  <conditionalFormatting sqref="F5:F36">
    <cfRule type="expression" dxfId="987" priority="76">
      <formula>COUNTIF(E5,"6")</formula>
    </cfRule>
  </conditionalFormatting>
  <conditionalFormatting sqref="I5:I36">
    <cfRule type="expression" dxfId="986" priority="55">
      <formula>COUNTIF(H5,"a")</formula>
    </cfRule>
    <cfRule type="expression" dxfId="985" priority="56">
      <formula>COUNTIF(H5,"9")</formula>
    </cfRule>
    <cfRule type="expression" dxfId="984" priority="57">
      <formula>COUNTIF(H5,"k")</formula>
    </cfRule>
    <cfRule type="expression" dxfId="983" priority="58">
      <formula>COUNTIF(H5,"u")</formula>
    </cfRule>
    <cfRule type="expression" dxfId="982" priority="59">
      <formula>COUNTIF(H5,"f")</formula>
    </cfRule>
    <cfRule type="expression" dxfId="981" priority="60">
      <formula>COUNTIF(H5,"8")</formula>
    </cfRule>
    <cfRule type="expression" dxfId="980" priority="61">
      <formula>COUNTIF(H5,"7")</formula>
    </cfRule>
    <cfRule type="expression" dxfId="979" priority="62">
      <formula>COUNTIF(H5,"3")</formula>
    </cfRule>
    <cfRule type="expression" dxfId="978" priority="64">
      <formula>COUNTIF(H5,"5")</formula>
    </cfRule>
    <cfRule type="expression" dxfId="977" priority="65">
      <formula>COUNTIF(H5,"2")</formula>
    </cfRule>
    <cfRule type="expression" dxfId="976" priority="66">
      <formula>COUNTIF(H5,"4")</formula>
    </cfRule>
    <cfRule type="expression" dxfId="975" priority="67">
      <formula>COUNTIF(H5,"1")</formula>
    </cfRule>
  </conditionalFormatting>
  <conditionalFormatting sqref="I5:I36">
    <cfRule type="expression" dxfId="974" priority="63">
      <formula>COUNTIF(H5,"6")</formula>
    </cfRule>
  </conditionalFormatting>
  <conditionalFormatting sqref="L5:L36">
    <cfRule type="expression" dxfId="973" priority="42">
      <formula>COUNTIF(K5,"a")</formula>
    </cfRule>
    <cfRule type="expression" dxfId="972" priority="43">
      <formula>COUNTIF(K5,"9")</formula>
    </cfRule>
    <cfRule type="expression" dxfId="971" priority="44">
      <formula>COUNTIF(K5,"k")</formula>
    </cfRule>
    <cfRule type="expression" dxfId="970" priority="45">
      <formula>COUNTIF(K5,"u")</formula>
    </cfRule>
    <cfRule type="expression" dxfId="969" priority="46">
      <formula>COUNTIF(K5,"f")</formula>
    </cfRule>
    <cfRule type="expression" dxfId="968" priority="47">
      <formula>COUNTIF(K5,"8")</formula>
    </cfRule>
    <cfRule type="expression" dxfId="967" priority="48">
      <formula>COUNTIF(K5,"7")</formula>
    </cfRule>
    <cfRule type="expression" dxfId="966" priority="49">
      <formula>COUNTIF(K5,"3")</formula>
    </cfRule>
    <cfRule type="expression" dxfId="965" priority="51">
      <formula>COUNTIF(K5,"5")</formula>
    </cfRule>
    <cfRule type="expression" dxfId="964" priority="52">
      <formula>COUNTIF(K5,"2")</formula>
    </cfRule>
    <cfRule type="expression" dxfId="963" priority="53">
      <formula>COUNTIF(K5,"4")</formula>
    </cfRule>
    <cfRule type="expression" dxfId="962" priority="54">
      <formula>COUNTIF(K5,"1")</formula>
    </cfRule>
  </conditionalFormatting>
  <conditionalFormatting sqref="L5:L36">
    <cfRule type="expression" dxfId="961" priority="50">
      <formula>COUNTIF(K5,"6")</formula>
    </cfRule>
  </conditionalFormatting>
  <conditionalFormatting sqref="O5:O36">
    <cfRule type="expression" dxfId="960" priority="29">
      <formula>COUNTIF(N5,"a")</formula>
    </cfRule>
    <cfRule type="expression" dxfId="959" priority="30">
      <formula>COUNTIF(N5,"9")</formula>
    </cfRule>
    <cfRule type="expression" dxfId="958" priority="31">
      <formula>COUNTIF(N5,"k")</formula>
    </cfRule>
    <cfRule type="expression" dxfId="957" priority="32">
      <formula>COUNTIF(N5,"u")</formula>
    </cfRule>
    <cfRule type="expression" dxfId="956" priority="33">
      <formula>COUNTIF(N5,"f")</formula>
    </cfRule>
    <cfRule type="expression" dxfId="955" priority="34">
      <formula>COUNTIF(N5,"8")</formula>
    </cfRule>
    <cfRule type="expression" dxfId="954" priority="35">
      <formula>COUNTIF(N5,"7")</formula>
    </cfRule>
    <cfRule type="expression" dxfId="953" priority="36">
      <formula>COUNTIF(N5,"3")</formula>
    </cfRule>
    <cfRule type="expression" dxfId="952" priority="38">
      <formula>COUNTIF(N5,"5")</formula>
    </cfRule>
    <cfRule type="expression" dxfId="951" priority="39">
      <formula>COUNTIF(N5,"2")</formula>
    </cfRule>
    <cfRule type="expression" dxfId="950" priority="40">
      <formula>COUNTIF(N5,"4")</formula>
    </cfRule>
    <cfRule type="expression" dxfId="949" priority="41">
      <formula>COUNTIF(N5,"1")</formula>
    </cfRule>
  </conditionalFormatting>
  <conditionalFormatting sqref="O5:O36">
    <cfRule type="expression" dxfId="948" priority="37">
      <formula>COUNTIF(N5,"6")</formula>
    </cfRule>
  </conditionalFormatting>
  <conditionalFormatting sqref="R5:R36">
    <cfRule type="expression" dxfId="947" priority="16">
      <formula>COUNTIF(Q5,"a")</formula>
    </cfRule>
    <cfRule type="expression" dxfId="946" priority="17">
      <formula>COUNTIF(Q5,"9")</formula>
    </cfRule>
    <cfRule type="expression" dxfId="945" priority="18">
      <formula>COUNTIF(Q5,"k")</formula>
    </cfRule>
    <cfRule type="expression" dxfId="944" priority="19">
      <formula>COUNTIF(Q5,"u")</formula>
    </cfRule>
    <cfRule type="expression" dxfId="943" priority="20">
      <formula>COUNTIF(Q5,"f")</formula>
    </cfRule>
    <cfRule type="expression" dxfId="942" priority="21">
      <formula>COUNTIF(Q5,"8")</formula>
    </cfRule>
    <cfRule type="expression" dxfId="941" priority="22">
      <formula>COUNTIF(Q5,"7")</formula>
    </cfRule>
    <cfRule type="expression" dxfId="940" priority="23">
      <formula>COUNTIF(Q5,"3")</formula>
    </cfRule>
    <cfRule type="expression" dxfId="939" priority="25">
      <formula>COUNTIF(Q5,"5")</formula>
    </cfRule>
    <cfRule type="expression" dxfId="938" priority="26">
      <formula>COUNTIF(Q5,"2")</formula>
    </cfRule>
    <cfRule type="expression" dxfId="937" priority="27">
      <formula>COUNTIF(Q5,"4")</formula>
    </cfRule>
    <cfRule type="expression" dxfId="936" priority="28">
      <formula>COUNTIF(Q5,"1")</formula>
    </cfRule>
  </conditionalFormatting>
  <conditionalFormatting sqref="R5:R36">
    <cfRule type="expression" dxfId="935" priority="24">
      <formula>COUNTIF(Q5,"6")</formula>
    </cfRule>
  </conditionalFormatting>
  <conditionalFormatting sqref="U5:U36">
    <cfRule type="expression" dxfId="934" priority="3">
      <formula>COUNTIF(T5,"a")</formula>
    </cfRule>
    <cfRule type="expression" dxfId="933" priority="4">
      <formula>COUNTIF(T5,"9")</formula>
    </cfRule>
    <cfRule type="expression" dxfId="932" priority="5">
      <formula>COUNTIF(T5,"k")</formula>
    </cfRule>
    <cfRule type="expression" dxfId="931" priority="6">
      <formula>COUNTIF(T5,"u")</formula>
    </cfRule>
    <cfRule type="expression" dxfId="930" priority="7">
      <formula>COUNTIF(T5,"f")</formula>
    </cfRule>
    <cfRule type="expression" dxfId="929" priority="8">
      <formula>COUNTIF(T5,"8")</formula>
    </cfRule>
    <cfRule type="expression" dxfId="928" priority="9">
      <formula>COUNTIF(T5,"7")</formula>
    </cfRule>
    <cfRule type="expression" dxfId="927" priority="10">
      <formula>COUNTIF(T5,"3")</formula>
    </cfRule>
    <cfRule type="expression" dxfId="926" priority="12">
      <formula>COUNTIF(T5,"5")</formula>
    </cfRule>
    <cfRule type="expression" dxfId="925" priority="13">
      <formula>COUNTIF(T5,"2")</formula>
    </cfRule>
    <cfRule type="expression" dxfId="924" priority="14">
      <formula>COUNTIF(T5,"4")</formula>
    </cfRule>
    <cfRule type="expression" dxfId="923" priority="15">
      <formula>COUNTIF(T5,"1")</formula>
    </cfRule>
  </conditionalFormatting>
  <conditionalFormatting sqref="U5:U36">
    <cfRule type="expression" dxfId="922" priority="11">
      <formula>COUNTIF(T5,"6")</formula>
    </cfRule>
  </conditionalFormatting>
  <conditionalFormatting sqref="V32">
    <cfRule type="cellIs" dxfId="921" priority="1" operator="lessThan">
      <formula>0</formula>
    </cfRule>
    <cfRule type="cellIs" dxfId="92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D9EC3E27-2659-4840-85E5-573067711CB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5509A-F371-694C-807A-3F02CFCD5E7D}">
  <sheetPr codeName="Tabelle94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49</v>
      </c>
      <c r="Q1" s="176"/>
      <c r="R1" s="79">
        <f>DATE(V1,1,7*P1-3-WEEKDAY(DATE(V1,,),3))</f>
        <v>45628</v>
      </c>
      <c r="S1" s="80" t="s">
        <v>1</v>
      </c>
      <c r="T1" s="177">
        <f>DATE(V1,1,7*P1+3-WEEKDAY(DATE(V1,,),3))</f>
        <v>45634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45628</v>
      </c>
      <c r="B2" s="178"/>
      <c r="C2" s="178"/>
      <c r="D2" s="178">
        <f>A2+1</f>
        <v>45629</v>
      </c>
      <c r="E2" s="179"/>
      <c r="F2" s="179"/>
      <c r="G2" s="178">
        <f>D2+1</f>
        <v>45630</v>
      </c>
      <c r="H2" s="179"/>
      <c r="I2" s="179"/>
      <c r="J2" s="178">
        <f>G2+1</f>
        <v>45631</v>
      </c>
      <c r="K2" s="179"/>
      <c r="L2" s="179"/>
      <c r="M2" s="178">
        <f>J2+1</f>
        <v>45632</v>
      </c>
      <c r="N2" s="179"/>
      <c r="O2" s="179"/>
      <c r="P2" s="178">
        <f>M2+1</f>
        <v>45633</v>
      </c>
      <c r="Q2" s="179"/>
      <c r="R2" s="179"/>
      <c r="S2" s="178">
        <f>P2+1</f>
        <v>45634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45628</v>
      </c>
      <c r="B3" s="168"/>
      <c r="C3" s="168"/>
      <c r="D3" s="168">
        <f>A3+1</f>
        <v>45629</v>
      </c>
      <c r="E3" s="168"/>
      <c r="F3" s="168"/>
      <c r="G3" s="168">
        <f>D3+1</f>
        <v>45630</v>
      </c>
      <c r="H3" s="168"/>
      <c r="I3" s="168"/>
      <c r="J3" s="168">
        <f>G3+1</f>
        <v>45631</v>
      </c>
      <c r="K3" s="168"/>
      <c r="L3" s="168"/>
      <c r="M3" s="168">
        <f>J3+1</f>
        <v>45632</v>
      </c>
      <c r="N3" s="168"/>
      <c r="O3" s="168"/>
      <c r="P3" s="168">
        <f>M3+1</f>
        <v>45633</v>
      </c>
      <c r="Q3" s="168"/>
      <c r="R3" s="168"/>
      <c r="S3" s="168">
        <f>P3+1</f>
        <v>45634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45628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45629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45630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45631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45632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45633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45634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48'!V32</f>
        <v>-1920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-1960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919" priority="159">
      <formula>COUNTIF(B5,"a")</formula>
    </cfRule>
    <cfRule type="expression" dxfId="918" priority="161">
      <formula>COUNTIF(B5,"9")</formula>
    </cfRule>
    <cfRule type="expression" dxfId="917" priority="163">
      <formula>COUNTIF(B5,"k")</formula>
    </cfRule>
    <cfRule type="expression" dxfId="916" priority="164">
      <formula>COUNTIF(B5,"u")</formula>
    </cfRule>
    <cfRule type="expression" dxfId="915" priority="167">
      <formula>COUNTIF(B5,"f")</formula>
    </cfRule>
    <cfRule type="expression" dxfId="914" priority="168">
      <formula>COUNTIF(B5,"8")</formula>
    </cfRule>
    <cfRule type="expression" dxfId="913" priority="169">
      <formula>COUNTIF(B5,"7")</formula>
    </cfRule>
    <cfRule type="expression" dxfId="912" priority="170">
      <formula>COUNTIF(B5,"3")</formula>
    </cfRule>
    <cfRule type="expression" dxfId="911" priority="181">
      <formula>COUNTIF(B5,"5")</formula>
    </cfRule>
    <cfRule type="expression" dxfId="910" priority="182">
      <formula>COUNTIF(B5,"2")</formula>
    </cfRule>
    <cfRule type="expression" dxfId="909" priority="183">
      <formula>COUNTIF(B5,"4")</formula>
    </cfRule>
    <cfRule type="expression" dxfId="908" priority="184">
      <formula>COUNTIF(B5,"1")</formula>
    </cfRule>
  </conditionalFormatting>
  <conditionalFormatting sqref="B5:B36">
    <cfRule type="cellIs" dxfId="907" priority="160" operator="equal">
      <formula>"a"</formula>
    </cfRule>
    <cfRule type="cellIs" dxfId="906" priority="162" operator="equal">
      <formula>"k"</formula>
    </cfRule>
    <cfRule type="cellIs" dxfId="905" priority="165" operator="equal">
      <formula>"u"</formula>
    </cfRule>
    <cfRule type="cellIs" dxfId="904" priority="166" operator="equal">
      <formula>"f"</formula>
    </cfRule>
    <cfRule type="cellIs" dxfId="903" priority="171" operator="equal">
      <formula>9</formula>
    </cfRule>
    <cfRule type="cellIs" dxfId="902" priority="172" operator="equal">
      <formula>8</formula>
    </cfRule>
    <cfRule type="cellIs" dxfId="901" priority="173" operator="equal">
      <formula>5</formula>
    </cfRule>
    <cfRule type="cellIs" dxfId="900" priority="174" operator="equal">
      <formula>3</formula>
    </cfRule>
    <cfRule type="cellIs" dxfId="899" priority="176" operator="equal">
      <formula>6</formula>
    </cfRule>
    <cfRule type="cellIs" dxfId="898" priority="177" operator="equal">
      <formula>4</formula>
    </cfRule>
    <cfRule type="cellIs" dxfId="897" priority="178" operator="equal">
      <formula>2</formula>
    </cfRule>
    <cfRule type="cellIs" dxfId="896" priority="179" operator="equal">
      <formula>7</formula>
    </cfRule>
    <cfRule type="cellIs" dxfId="895" priority="180" operator="equal">
      <formula>1</formula>
    </cfRule>
  </conditionalFormatting>
  <conditionalFormatting sqref="C5:C36">
    <cfRule type="expression" dxfId="894" priority="175">
      <formula>COUNTIF(B5,"6")</formula>
    </cfRule>
  </conditionalFormatting>
  <conditionalFormatting sqref="E5:E36">
    <cfRule type="cellIs" dxfId="893" priority="146" operator="equal">
      <formula>"a"</formula>
    </cfRule>
    <cfRule type="cellIs" dxfId="892" priority="147" operator="equal">
      <formula>"k"</formula>
    </cfRule>
    <cfRule type="cellIs" dxfId="891" priority="148" operator="equal">
      <formula>"u"</formula>
    </cfRule>
    <cfRule type="cellIs" dxfId="890" priority="149" operator="equal">
      <formula>"f"</formula>
    </cfRule>
    <cfRule type="cellIs" dxfId="889" priority="150" operator="equal">
      <formula>9</formula>
    </cfRule>
    <cfRule type="cellIs" dxfId="888" priority="151" operator="equal">
      <formula>8</formula>
    </cfRule>
    <cfRule type="cellIs" dxfId="887" priority="152" operator="equal">
      <formula>5</formula>
    </cfRule>
    <cfRule type="cellIs" dxfId="886" priority="153" operator="equal">
      <formula>3</formula>
    </cfRule>
    <cfRule type="cellIs" dxfId="885" priority="154" operator="equal">
      <formula>6</formula>
    </cfRule>
    <cfRule type="cellIs" dxfId="884" priority="155" operator="equal">
      <formula>4</formula>
    </cfRule>
    <cfRule type="cellIs" dxfId="883" priority="156" operator="equal">
      <formula>2</formula>
    </cfRule>
    <cfRule type="cellIs" dxfId="882" priority="157" operator="equal">
      <formula>7</formula>
    </cfRule>
    <cfRule type="cellIs" dxfId="881" priority="158" operator="equal">
      <formula>1</formula>
    </cfRule>
  </conditionalFormatting>
  <conditionalFormatting sqref="H5:H36">
    <cfRule type="cellIs" dxfId="880" priority="133" operator="equal">
      <formula>"a"</formula>
    </cfRule>
    <cfRule type="cellIs" dxfId="879" priority="134" operator="equal">
      <formula>"k"</formula>
    </cfRule>
    <cfRule type="cellIs" dxfId="878" priority="135" operator="equal">
      <formula>"u"</formula>
    </cfRule>
    <cfRule type="cellIs" dxfId="877" priority="136" operator="equal">
      <formula>"f"</formula>
    </cfRule>
    <cfRule type="cellIs" dxfId="876" priority="137" operator="equal">
      <formula>9</formula>
    </cfRule>
    <cfRule type="cellIs" dxfId="875" priority="138" operator="equal">
      <formula>8</formula>
    </cfRule>
    <cfRule type="cellIs" dxfId="874" priority="139" operator="equal">
      <formula>5</formula>
    </cfRule>
    <cfRule type="cellIs" dxfId="873" priority="140" operator="equal">
      <formula>3</formula>
    </cfRule>
    <cfRule type="cellIs" dxfId="872" priority="141" operator="equal">
      <formula>6</formula>
    </cfRule>
    <cfRule type="cellIs" dxfId="871" priority="142" operator="equal">
      <formula>4</formula>
    </cfRule>
    <cfRule type="cellIs" dxfId="870" priority="143" operator="equal">
      <formula>2</formula>
    </cfRule>
    <cfRule type="cellIs" dxfId="869" priority="144" operator="equal">
      <formula>7</formula>
    </cfRule>
    <cfRule type="cellIs" dxfId="868" priority="145" operator="equal">
      <formula>1</formula>
    </cfRule>
  </conditionalFormatting>
  <conditionalFormatting sqref="K5:K36">
    <cfRule type="cellIs" dxfId="867" priority="120" operator="equal">
      <formula>"a"</formula>
    </cfRule>
    <cfRule type="cellIs" dxfId="866" priority="121" operator="equal">
      <formula>"k"</formula>
    </cfRule>
    <cfRule type="cellIs" dxfId="865" priority="122" operator="equal">
      <formula>"u"</formula>
    </cfRule>
    <cfRule type="cellIs" dxfId="864" priority="123" operator="equal">
      <formula>"f"</formula>
    </cfRule>
    <cfRule type="cellIs" dxfId="863" priority="124" operator="equal">
      <formula>9</formula>
    </cfRule>
    <cfRule type="cellIs" dxfId="862" priority="125" operator="equal">
      <formula>8</formula>
    </cfRule>
    <cfRule type="cellIs" dxfId="861" priority="126" operator="equal">
      <formula>5</formula>
    </cfRule>
    <cfRule type="cellIs" dxfId="860" priority="127" operator="equal">
      <formula>3</formula>
    </cfRule>
    <cfRule type="cellIs" dxfId="859" priority="128" operator="equal">
      <formula>6</formula>
    </cfRule>
    <cfRule type="cellIs" dxfId="858" priority="129" operator="equal">
      <formula>4</formula>
    </cfRule>
    <cfRule type="cellIs" dxfId="857" priority="130" operator="equal">
      <formula>2</formula>
    </cfRule>
    <cfRule type="cellIs" dxfId="856" priority="131" operator="equal">
      <formula>7</formula>
    </cfRule>
    <cfRule type="cellIs" dxfId="855" priority="132" operator="equal">
      <formula>1</formula>
    </cfRule>
  </conditionalFormatting>
  <conditionalFormatting sqref="N5:N36">
    <cfRule type="cellIs" dxfId="854" priority="107" operator="equal">
      <formula>"a"</formula>
    </cfRule>
    <cfRule type="cellIs" dxfId="853" priority="108" operator="equal">
      <formula>"k"</formula>
    </cfRule>
    <cfRule type="cellIs" dxfId="852" priority="109" operator="equal">
      <formula>"u"</formula>
    </cfRule>
    <cfRule type="cellIs" dxfId="851" priority="110" operator="equal">
      <formula>"f"</formula>
    </cfRule>
    <cfRule type="cellIs" dxfId="850" priority="111" operator="equal">
      <formula>9</formula>
    </cfRule>
    <cfRule type="cellIs" dxfId="849" priority="112" operator="equal">
      <formula>8</formula>
    </cfRule>
    <cfRule type="cellIs" dxfId="848" priority="113" operator="equal">
      <formula>5</formula>
    </cfRule>
    <cfRule type="cellIs" dxfId="847" priority="114" operator="equal">
      <formula>3</formula>
    </cfRule>
    <cfRule type="cellIs" dxfId="846" priority="115" operator="equal">
      <formula>6</formula>
    </cfRule>
    <cfRule type="cellIs" dxfId="845" priority="116" operator="equal">
      <formula>4</formula>
    </cfRule>
    <cfRule type="cellIs" dxfId="844" priority="117" operator="equal">
      <formula>2</formula>
    </cfRule>
    <cfRule type="cellIs" dxfId="843" priority="118" operator="equal">
      <formula>7</formula>
    </cfRule>
    <cfRule type="cellIs" dxfId="842" priority="119" operator="equal">
      <formula>1</formula>
    </cfRule>
  </conditionalFormatting>
  <conditionalFormatting sqref="Q5:Q36">
    <cfRule type="cellIs" dxfId="841" priority="94" operator="equal">
      <formula>"a"</formula>
    </cfRule>
    <cfRule type="cellIs" dxfId="840" priority="95" operator="equal">
      <formula>"k"</formula>
    </cfRule>
    <cfRule type="cellIs" dxfId="839" priority="96" operator="equal">
      <formula>"u"</formula>
    </cfRule>
    <cfRule type="cellIs" dxfId="838" priority="97" operator="equal">
      <formula>"f"</formula>
    </cfRule>
    <cfRule type="cellIs" dxfId="837" priority="98" operator="equal">
      <formula>9</formula>
    </cfRule>
    <cfRule type="cellIs" dxfId="836" priority="99" operator="equal">
      <formula>8</formula>
    </cfRule>
    <cfRule type="cellIs" dxfId="835" priority="100" operator="equal">
      <formula>5</formula>
    </cfRule>
    <cfRule type="cellIs" dxfId="834" priority="101" operator="equal">
      <formula>3</formula>
    </cfRule>
    <cfRule type="cellIs" dxfId="833" priority="102" operator="equal">
      <formula>6</formula>
    </cfRule>
    <cfRule type="cellIs" dxfId="832" priority="103" operator="equal">
      <formula>4</formula>
    </cfRule>
    <cfRule type="cellIs" dxfId="831" priority="104" operator="equal">
      <formula>2</formula>
    </cfRule>
    <cfRule type="cellIs" dxfId="830" priority="105" operator="equal">
      <formula>7</formula>
    </cfRule>
    <cfRule type="cellIs" dxfId="829" priority="106" operator="equal">
      <formula>1</formula>
    </cfRule>
  </conditionalFormatting>
  <conditionalFormatting sqref="T5:T36">
    <cfRule type="cellIs" dxfId="828" priority="81" operator="equal">
      <formula>"a"</formula>
    </cfRule>
    <cfRule type="cellIs" dxfId="827" priority="82" operator="equal">
      <formula>"k"</formula>
    </cfRule>
    <cfRule type="cellIs" dxfId="826" priority="83" operator="equal">
      <formula>"u"</formula>
    </cfRule>
    <cfRule type="cellIs" dxfId="825" priority="84" operator="equal">
      <formula>"f"</formula>
    </cfRule>
    <cfRule type="cellIs" dxfId="824" priority="85" operator="equal">
      <formula>9</formula>
    </cfRule>
    <cfRule type="cellIs" dxfId="823" priority="86" operator="equal">
      <formula>8</formula>
    </cfRule>
    <cfRule type="cellIs" dxfId="822" priority="87" operator="equal">
      <formula>5</formula>
    </cfRule>
    <cfRule type="cellIs" dxfId="821" priority="88" operator="equal">
      <formula>3</formula>
    </cfRule>
    <cfRule type="cellIs" dxfId="820" priority="89" operator="equal">
      <formula>6</formula>
    </cfRule>
    <cfRule type="cellIs" dxfId="819" priority="90" operator="equal">
      <formula>4</formula>
    </cfRule>
    <cfRule type="cellIs" dxfId="818" priority="91" operator="equal">
      <formula>2</formula>
    </cfRule>
    <cfRule type="cellIs" dxfId="817" priority="92" operator="equal">
      <formula>7</formula>
    </cfRule>
    <cfRule type="cellIs" dxfId="816" priority="93" operator="equal">
      <formula>1</formula>
    </cfRule>
  </conditionalFormatting>
  <conditionalFormatting sqref="F5:F36">
    <cfRule type="expression" dxfId="815" priority="68">
      <formula>COUNTIF(E5,"a")</formula>
    </cfRule>
    <cfRule type="expression" dxfId="814" priority="69">
      <formula>COUNTIF(E5,"9")</formula>
    </cfRule>
    <cfRule type="expression" dxfId="813" priority="70">
      <formula>COUNTIF(E5,"k")</formula>
    </cfRule>
    <cfRule type="expression" dxfId="812" priority="71">
      <formula>COUNTIF(E5,"u")</formula>
    </cfRule>
    <cfRule type="expression" dxfId="811" priority="72">
      <formula>COUNTIF(E5,"f")</formula>
    </cfRule>
    <cfRule type="expression" dxfId="810" priority="73">
      <formula>COUNTIF(E5,"8")</formula>
    </cfRule>
    <cfRule type="expression" dxfId="809" priority="74">
      <formula>COUNTIF(E5,"7")</formula>
    </cfRule>
    <cfRule type="expression" dxfId="808" priority="75">
      <formula>COUNTIF(E5,"3")</formula>
    </cfRule>
    <cfRule type="expression" dxfId="807" priority="77">
      <formula>COUNTIF(E5,"5")</formula>
    </cfRule>
    <cfRule type="expression" dxfId="806" priority="78">
      <formula>COUNTIF(E5,"2")</formula>
    </cfRule>
    <cfRule type="expression" dxfId="805" priority="79">
      <formula>COUNTIF(E5,"4")</formula>
    </cfRule>
    <cfRule type="expression" dxfId="804" priority="80">
      <formula>COUNTIF(E5,"1")</formula>
    </cfRule>
  </conditionalFormatting>
  <conditionalFormatting sqref="F5:F36">
    <cfRule type="expression" dxfId="803" priority="76">
      <formula>COUNTIF(E5,"6")</formula>
    </cfRule>
  </conditionalFormatting>
  <conditionalFormatting sqref="I5:I36">
    <cfRule type="expression" dxfId="802" priority="55">
      <formula>COUNTIF(H5,"a")</formula>
    </cfRule>
    <cfRule type="expression" dxfId="801" priority="56">
      <formula>COUNTIF(H5,"9")</formula>
    </cfRule>
    <cfRule type="expression" dxfId="800" priority="57">
      <formula>COUNTIF(H5,"k")</formula>
    </cfRule>
    <cfRule type="expression" dxfId="799" priority="58">
      <formula>COUNTIF(H5,"u")</formula>
    </cfRule>
    <cfRule type="expression" dxfId="798" priority="59">
      <formula>COUNTIF(H5,"f")</formula>
    </cfRule>
    <cfRule type="expression" dxfId="797" priority="60">
      <formula>COUNTIF(H5,"8")</formula>
    </cfRule>
    <cfRule type="expression" dxfId="796" priority="61">
      <formula>COUNTIF(H5,"7")</formula>
    </cfRule>
    <cfRule type="expression" dxfId="795" priority="62">
      <formula>COUNTIF(H5,"3")</formula>
    </cfRule>
    <cfRule type="expression" dxfId="794" priority="64">
      <formula>COUNTIF(H5,"5")</formula>
    </cfRule>
    <cfRule type="expression" dxfId="793" priority="65">
      <formula>COUNTIF(H5,"2")</formula>
    </cfRule>
    <cfRule type="expression" dxfId="792" priority="66">
      <formula>COUNTIF(H5,"4")</formula>
    </cfRule>
    <cfRule type="expression" dxfId="791" priority="67">
      <formula>COUNTIF(H5,"1")</formula>
    </cfRule>
  </conditionalFormatting>
  <conditionalFormatting sqref="I5:I36">
    <cfRule type="expression" dxfId="790" priority="63">
      <formula>COUNTIF(H5,"6")</formula>
    </cfRule>
  </conditionalFormatting>
  <conditionalFormatting sqref="L5:L36">
    <cfRule type="expression" dxfId="789" priority="42">
      <formula>COUNTIF(K5,"a")</formula>
    </cfRule>
    <cfRule type="expression" dxfId="788" priority="43">
      <formula>COUNTIF(K5,"9")</formula>
    </cfRule>
    <cfRule type="expression" dxfId="787" priority="44">
      <formula>COUNTIF(K5,"k")</formula>
    </cfRule>
    <cfRule type="expression" dxfId="786" priority="45">
      <formula>COUNTIF(K5,"u")</formula>
    </cfRule>
    <cfRule type="expression" dxfId="785" priority="46">
      <formula>COUNTIF(K5,"f")</formula>
    </cfRule>
    <cfRule type="expression" dxfId="784" priority="47">
      <formula>COUNTIF(K5,"8")</formula>
    </cfRule>
    <cfRule type="expression" dxfId="783" priority="48">
      <formula>COUNTIF(K5,"7")</formula>
    </cfRule>
    <cfRule type="expression" dxfId="782" priority="49">
      <formula>COUNTIF(K5,"3")</formula>
    </cfRule>
    <cfRule type="expression" dxfId="781" priority="51">
      <formula>COUNTIF(K5,"5")</formula>
    </cfRule>
    <cfRule type="expression" dxfId="780" priority="52">
      <formula>COUNTIF(K5,"2")</formula>
    </cfRule>
    <cfRule type="expression" dxfId="779" priority="53">
      <formula>COUNTIF(K5,"4")</formula>
    </cfRule>
    <cfRule type="expression" dxfId="778" priority="54">
      <formula>COUNTIF(K5,"1")</formula>
    </cfRule>
  </conditionalFormatting>
  <conditionalFormatting sqref="L5:L36">
    <cfRule type="expression" dxfId="777" priority="50">
      <formula>COUNTIF(K5,"6")</formula>
    </cfRule>
  </conditionalFormatting>
  <conditionalFormatting sqref="O5:O36">
    <cfRule type="expression" dxfId="776" priority="29">
      <formula>COUNTIF(N5,"a")</formula>
    </cfRule>
    <cfRule type="expression" dxfId="775" priority="30">
      <formula>COUNTIF(N5,"9")</formula>
    </cfRule>
    <cfRule type="expression" dxfId="774" priority="31">
      <formula>COUNTIF(N5,"k")</formula>
    </cfRule>
    <cfRule type="expression" dxfId="773" priority="32">
      <formula>COUNTIF(N5,"u")</formula>
    </cfRule>
    <cfRule type="expression" dxfId="772" priority="33">
      <formula>COUNTIF(N5,"f")</formula>
    </cfRule>
    <cfRule type="expression" dxfId="771" priority="34">
      <formula>COUNTIF(N5,"8")</formula>
    </cfRule>
    <cfRule type="expression" dxfId="770" priority="35">
      <formula>COUNTIF(N5,"7")</formula>
    </cfRule>
    <cfRule type="expression" dxfId="769" priority="36">
      <formula>COUNTIF(N5,"3")</formula>
    </cfRule>
    <cfRule type="expression" dxfId="768" priority="38">
      <formula>COUNTIF(N5,"5")</formula>
    </cfRule>
    <cfRule type="expression" dxfId="767" priority="39">
      <formula>COUNTIF(N5,"2")</formula>
    </cfRule>
    <cfRule type="expression" dxfId="766" priority="40">
      <formula>COUNTIF(N5,"4")</formula>
    </cfRule>
    <cfRule type="expression" dxfId="765" priority="41">
      <formula>COUNTIF(N5,"1")</formula>
    </cfRule>
  </conditionalFormatting>
  <conditionalFormatting sqref="O5:O36">
    <cfRule type="expression" dxfId="764" priority="37">
      <formula>COUNTIF(N5,"6")</formula>
    </cfRule>
  </conditionalFormatting>
  <conditionalFormatting sqref="R5:R36">
    <cfRule type="expression" dxfId="763" priority="16">
      <formula>COUNTIF(Q5,"a")</formula>
    </cfRule>
    <cfRule type="expression" dxfId="762" priority="17">
      <formula>COUNTIF(Q5,"9")</formula>
    </cfRule>
    <cfRule type="expression" dxfId="761" priority="18">
      <formula>COUNTIF(Q5,"k")</formula>
    </cfRule>
    <cfRule type="expression" dxfId="760" priority="19">
      <formula>COUNTIF(Q5,"u")</formula>
    </cfRule>
    <cfRule type="expression" dxfId="759" priority="20">
      <formula>COUNTIF(Q5,"f")</formula>
    </cfRule>
    <cfRule type="expression" dxfId="758" priority="21">
      <formula>COUNTIF(Q5,"8")</formula>
    </cfRule>
    <cfRule type="expression" dxfId="757" priority="22">
      <formula>COUNTIF(Q5,"7")</formula>
    </cfRule>
    <cfRule type="expression" dxfId="756" priority="23">
      <formula>COUNTIF(Q5,"3")</formula>
    </cfRule>
    <cfRule type="expression" dxfId="755" priority="25">
      <formula>COUNTIF(Q5,"5")</formula>
    </cfRule>
    <cfRule type="expression" dxfId="754" priority="26">
      <formula>COUNTIF(Q5,"2")</formula>
    </cfRule>
    <cfRule type="expression" dxfId="753" priority="27">
      <formula>COUNTIF(Q5,"4")</formula>
    </cfRule>
    <cfRule type="expression" dxfId="752" priority="28">
      <formula>COUNTIF(Q5,"1")</formula>
    </cfRule>
  </conditionalFormatting>
  <conditionalFormatting sqref="R5:R36">
    <cfRule type="expression" dxfId="751" priority="24">
      <formula>COUNTIF(Q5,"6")</formula>
    </cfRule>
  </conditionalFormatting>
  <conditionalFormatting sqref="U5:U36">
    <cfRule type="expression" dxfId="750" priority="3">
      <formula>COUNTIF(T5,"a")</formula>
    </cfRule>
    <cfRule type="expression" dxfId="749" priority="4">
      <formula>COUNTIF(T5,"9")</formula>
    </cfRule>
    <cfRule type="expression" dxfId="748" priority="5">
      <formula>COUNTIF(T5,"k")</formula>
    </cfRule>
    <cfRule type="expression" dxfId="747" priority="6">
      <formula>COUNTIF(T5,"u")</formula>
    </cfRule>
    <cfRule type="expression" dxfId="746" priority="7">
      <formula>COUNTIF(T5,"f")</formula>
    </cfRule>
    <cfRule type="expression" dxfId="745" priority="8">
      <formula>COUNTIF(T5,"8")</formula>
    </cfRule>
    <cfRule type="expression" dxfId="744" priority="9">
      <formula>COUNTIF(T5,"7")</formula>
    </cfRule>
    <cfRule type="expression" dxfId="743" priority="10">
      <formula>COUNTIF(T5,"3")</formula>
    </cfRule>
    <cfRule type="expression" dxfId="742" priority="12">
      <formula>COUNTIF(T5,"5")</formula>
    </cfRule>
    <cfRule type="expression" dxfId="741" priority="13">
      <formula>COUNTIF(T5,"2")</formula>
    </cfRule>
    <cfRule type="expression" dxfId="740" priority="14">
      <formula>COUNTIF(T5,"4")</formula>
    </cfRule>
    <cfRule type="expression" dxfId="739" priority="15">
      <formula>COUNTIF(T5,"1")</formula>
    </cfRule>
  </conditionalFormatting>
  <conditionalFormatting sqref="U5:U36">
    <cfRule type="expression" dxfId="738" priority="11">
      <formula>COUNTIF(T5,"6")</formula>
    </cfRule>
  </conditionalFormatting>
  <conditionalFormatting sqref="V32">
    <cfRule type="cellIs" dxfId="737" priority="1" operator="lessThan">
      <formula>0</formula>
    </cfRule>
    <cfRule type="cellIs" dxfId="736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25D55110-FE5C-EF41-AA01-A1EFE3277E56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D3B7-475C-8B45-AD6C-C5AA61CB0723}">
  <sheetPr codeName="Tabelle95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50</v>
      </c>
      <c r="Q1" s="176"/>
      <c r="R1" s="79">
        <f>DATE(V1,1,7*P1-3-WEEKDAY(DATE(V1,,),3))</f>
        <v>45635</v>
      </c>
      <c r="S1" s="80" t="s">
        <v>1</v>
      </c>
      <c r="T1" s="177">
        <f>DATE(V1,1,7*P1+3-WEEKDAY(DATE(V1,,),3))</f>
        <v>45641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45635</v>
      </c>
      <c r="B2" s="178"/>
      <c r="C2" s="178"/>
      <c r="D2" s="178">
        <f>A2+1</f>
        <v>45636</v>
      </c>
      <c r="E2" s="179"/>
      <c r="F2" s="179"/>
      <c r="G2" s="178">
        <f>D2+1</f>
        <v>45637</v>
      </c>
      <c r="H2" s="179"/>
      <c r="I2" s="179"/>
      <c r="J2" s="178">
        <f>G2+1</f>
        <v>45638</v>
      </c>
      <c r="K2" s="179"/>
      <c r="L2" s="179"/>
      <c r="M2" s="178">
        <f>J2+1</f>
        <v>45639</v>
      </c>
      <c r="N2" s="179"/>
      <c r="O2" s="179"/>
      <c r="P2" s="178">
        <f>M2+1</f>
        <v>45640</v>
      </c>
      <c r="Q2" s="179"/>
      <c r="R2" s="179"/>
      <c r="S2" s="178">
        <f>P2+1</f>
        <v>45641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45635</v>
      </c>
      <c r="B3" s="168"/>
      <c r="C3" s="168"/>
      <c r="D3" s="168">
        <f>A3+1</f>
        <v>45636</v>
      </c>
      <c r="E3" s="168"/>
      <c r="F3" s="168"/>
      <c r="G3" s="168">
        <f>D3+1</f>
        <v>45637</v>
      </c>
      <c r="H3" s="168"/>
      <c r="I3" s="168"/>
      <c r="J3" s="168">
        <f>G3+1</f>
        <v>45638</v>
      </c>
      <c r="K3" s="168"/>
      <c r="L3" s="168"/>
      <c r="M3" s="168">
        <f>J3+1</f>
        <v>45639</v>
      </c>
      <c r="N3" s="168"/>
      <c r="O3" s="168"/>
      <c r="P3" s="168">
        <f>M3+1</f>
        <v>45640</v>
      </c>
      <c r="Q3" s="168"/>
      <c r="R3" s="168"/>
      <c r="S3" s="168">
        <f>P3+1</f>
        <v>45641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45635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45636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45637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45638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45639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45640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45641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49'!V32</f>
        <v>-1960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-2000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735" priority="159">
      <formula>COUNTIF(B5,"a")</formula>
    </cfRule>
    <cfRule type="expression" dxfId="734" priority="161">
      <formula>COUNTIF(B5,"9")</formula>
    </cfRule>
    <cfRule type="expression" dxfId="733" priority="163">
      <formula>COUNTIF(B5,"k")</formula>
    </cfRule>
    <cfRule type="expression" dxfId="732" priority="164">
      <formula>COUNTIF(B5,"u")</formula>
    </cfRule>
    <cfRule type="expression" dxfId="731" priority="167">
      <formula>COUNTIF(B5,"f")</formula>
    </cfRule>
    <cfRule type="expression" dxfId="730" priority="168">
      <formula>COUNTIF(B5,"8")</formula>
    </cfRule>
    <cfRule type="expression" dxfId="729" priority="169">
      <formula>COUNTIF(B5,"7")</formula>
    </cfRule>
    <cfRule type="expression" dxfId="728" priority="170">
      <formula>COUNTIF(B5,"3")</formula>
    </cfRule>
    <cfRule type="expression" dxfId="727" priority="181">
      <formula>COUNTIF(B5,"5")</formula>
    </cfRule>
    <cfRule type="expression" dxfId="726" priority="182">
      <formula>COUNTIF(B5,"2")</formula>
    </cfRule>
    <cfRule type="expression" dxfId="725" priority="183">
      <formula>COUNTIF(B5,"4")</formula>
    </cfRule>
    <cfRule type="expression" dxfId="724" priority="184">
      <formula>COUNTIF(B5,"1")</formula>
    </cfRule>
  </conditionalFormatting>
  <conditionalFormatting sqref="B5:B36">
    <cfRule type="cellIs" dxfId="723" priority="160" operator="equal">
      <formula>"a"</formula>
    </cfRule>
    <cfRule type="cellIs" dxfId="722" priority="162" operator="equal">
      <formula>"k"</formula>
    </cfRule>
    <cfRule type="cellIs" dxfId="721" priority="165" operator="equal">
      <formula>"u"</formula>
    </cfRule>
    <cfRule type="cellIs" dxfId="720" priority="166" operator="equal">
      <formula>"f"</formula>
    </cfRule>
    <cfRule type="cellIs" dxfId="719" priority="171" operator="equal">
      <formula>9</formula>
    </cfRule>
    <cfRule type="cellIs" dxfId="718" priority="172" operator="equal">
      <formula>8</formula>
    </cfRule>
    <cfRule type="cellIs" dxfId="717" priority="173" operator="equal">
      <formula>5</formula>
    </cfRule>
    <cfRule type="cellIs" dxfId="716" priority="174" operator="equal">
      <formula>3</formula>
    </cfRule>
    <cfRule type="cellIs" dxfId="715" priority="176" operator="equal">
      <formula>6</formula>
    </cfRule>
    <cfRule type="cellIs" dxfId="714" priority="177" operator="equal">
      <formula>4</formula>
    </cfRule>
    <cfRule type="cellIs" dxfId="713" priority="178" operator="equal">
      <formula>2</formula>
    </cfRule>
    <cfRule type="cellIs" dxfId="712" priority="179" operator="equal">
      <formula>7</formula>
    </cfRule>
    <cfRule type="cellIs" dxfId="711" priority="180" operator="equal">
      <formula>1</formula>
    </cfRule>
  </conditionalFormatting>
  <conditionalFormatting sqref="C5:C36">
    <cfRule type="expression" dxfId="710" priority="175">
      <formula>COUNTIF(B5,"6")</formula>
    </cfRule>
  </conditionalFormatting>
  <conditionalFormatting sqref="E5:E36">
    <cfRule type="cellIs" dxfId="709" priority="146" operator="equal">
      <formula>"a"</formula>
    </cfRule>
    <cfRule type="cellIs" dxfId="708" priority="147" operator="equal">
      <formula>"k"</formula>
    </cfRule>
    <cfRule type="cellIs" dxfId="707" priority="148" operator="equal">
      <formula>"u"</formula>
    </cfRule>
    <cfRule type="cellIs" dxfId="706" priority="149" operator="equal">
      <formula>"f"</formula>
    </cfRule>
    <cfRule type="cellIs" dxfId="705" priority="150" operator="equal">
      <formula>9</formula>
    </cfRule>
    <cfRule type="cellIs" dxfId="704" priority="151" operator="equal">
      <formula>8</formula>
    </cfRule>
    <cfRule type="cellIs" dxfId="703" priority="152" operator="equal">
      <formula>5</formula>
    </cfRule>
    <cfRule type="cellIs" dxfId="702" priority="153" operator="equal">
      <formula>3</formula>
    </cfRule>
    <cfRule type="cellIs" dxfId="701" priority="154" operator="equal">
      <formula>6</formula>
    </cfRule>
    <cfRule type="cellIs" dxfId="700" priority="155" operator="equal">
      <formula>4</formula>
    </cfRule>
    <cfRule type="cellIs" dxfId="699" priority="156" operator="equal">
      <formula>2</formula>
    </cfRule>
    <cfRule type="cellIs" dxfId="698" priority="157" operator="equal">
      <formula>7</formula>
    </cfRule>
    <cfRule type="cellIs" dxfId="697" priority="158" operator="equal">
      <formula>1</formula>
    </cfRule>
  </conditionalFormatting>
  <conditionalFormatting sqref="H5:H36">
    <cfRule type="cellIs" dxfId="696" priority="133" operator="equal">
      <formula>"a"</formula>
    </cfRule>
    <cfRule type="cellIs" dxfId="695" priority="134" operator="equal">
      <formula>"k"</formula>
    </cfRule>
    <cfRule type="cellIs" dxfId="694" priority="135" operator="equal">
      <formula>"u"</formula>
    </cfRule>
    <cfRule type="cellIs" dxfId="693" priority="136" operator="equal">
      <formula>"f"</formula>
    </cfRule>
    <cfRule type="cellIs" dxfId="692" priority="137" operator="equal">
      <formula>9</formula>
    </cfRule>
    <cfRule type="cellIs" dxfId="691" priority="138" operator="equal">
      <formula>8</formula>
    </cfRule>
    <cfRule type="cellIs" dxfId="690" priority="139" operator="equal">
      <formula>5</formula>
    </cfRule>
    <cfRule type="cellIs" dxfId="689" priority="140" operator="equal">
      <formula>3</formula>
    </cfRule>
    <cfRule type="cellIs" dxfId="688" priority="141" operator="equal">
      <formula>6</formula>
    </cfRule>
    <cfRule type="cellIs" dxfId="687" priority="142" operator="equal">
      <formula>4</formula>
    </cfRule>
    <cfRule type="cellIs" dxfId="686" priority="143" operator="equal">
      <formula>2</formula>
    </cfRule>
    <cfRule type="cellIs" dxfId="685" priority="144" operator="equal">
      <formula>7</formula>
    </cfRule>
    <cfRule type="cellIs" dxfId="684" priority="145" operator="equal">
      <formula>1</formula>
    </cfRule>
  </conditionalFormatting>
  <conditionalFormatting sqref="K5:K36">
    <cfRule type="cellIs" dxfId="683" priority="120" operator="equal">
      <formula>"a"</formula>
    </cfRule>
    <cfRule type="cellIs" dxfId="682" priority="121" operator="equal">
      <formula>"k"</formula>
    </cfRule>
    <cfRule type="cellIs" dxfId="681" priority="122" operator="equal">
      <formula>"u"</formula>
    </cfRule>
    <cfRule type="cellIs" dxfId="680" priority="123" operator="equal">
      <formula>"f"</formula>
    </cfRule>
    <cfRule type="cellIs" dxfId="679" priority="124" operator="equal">
      <formula>9</formula>
    </cfRule>
    <cfRule type="cellIs" dxfId="678" priority="125" operator="equal">
      <formula>8</formula>
    </cfRule>
    <cfRule type="cellIs" dxfId="677" priority="126" operator="equal">
      <formula>5</formula>
    </cfRule>
    <cfRule type="cellIs" dxfId="676" priority="127" operator="equal">
      <formula>3</formula>
    </cfRule>
    <cfRule type="cellIs" dxfId="675" priority="128" operator="equal">
      <formula>6</formula>
    </cfRule>
    <cfRule type="cellIs" dxfId="674" priority="129" operator="equal">
      <formula>4</formula>
    </cfRule>
    <cfRule type="cellIs" dxfId="673" priority="130" operator="equal">
      <formula>2</formula>
    </cfRule>
    <cfRule type="cellIs" dxfId="672" priority="131" operator="equal">
      <formula>7</formula>
    </cfRule>
    <cfRule type="cellIs" dxfId="671" priority="132" operator="equal">
      <formula>1</formula>
    </cfRule>
  </conditionalFormatting>
  <conditionalFormatting sqref="N5:N36">
    <cfRule type="cellIs" dxfId="670" priority="107" operator="equal">
      <formula>"a"</formula>
    </cfRule>
    <cfRule type="cellIs" dxfId="669" priority="108" operator="equal">
      <formula>"k"</formula>
    </cfRule>
    <cfRule type="cellIs" dxfId="668" priority="109" operator="equal">
      <formula>"u"</formula>
    </cfRule>
    <cfRule type="cellIs" dxfId="667" priority="110" operator="equal">
      <formula>"f"</formula>
    </cfRule>
    <cfRule type="cellIs" dxfId="666" priority="111" operator="equal">
      <formula>9</formula>
    </cfRule>
    <cfRule type="cellIs" dxfId="665" priority="112" operator="equal">
      <formula>8</formula>
    </cfRule>
    <cfRule type="cellIs" dxfId="664" priority="113" operator="equal">
      <formula>5</formula>
    </cfRule>
    <cfRule type="cellIs" dxfId="663" priority="114" operator="equal">
      <formula>3</formula>
    </cfRule>
    <cfRule type="cellIs" dxfId="662" priority="115" operator="equal">
      <formula>6</formula>
    </cfRule>
    <cfRule type="cellIs" dxfId="661" priority="116" operator="equal">
      <formula>4</formula>
    </cfRule>
    <cfRule type="cellIs" dxfId="660" priority="117" operator="equal">
      <formula>2</formula>
    </cfRule>
    <cfRule type="cellIs" dxfId="659" priority="118" operator="equal">
      <formula>7</formula>
    </cfRule>
    <cfRule type="cellIs" dxfId="658" priority="119" operator="equal">
      <formula>1</formula>
    </cfRule>
  </conditionalFormatting>
  <conditionalFormatting sqref="Q5:Q36">
    <cfRule type="cellIs" dxfId="657" priority="94" operator="equal">
      <formula>"a"</formula>
    </cfRule>
    <cfRule type="cellIs" dxfId="656" priority="95" operator="equal">
      <formula>"k"</formula>
    </cfRule>
    <cfRule type="cellIs" dxfId="655" priority="96" operator="equal">
      <formula>"u"</formula>
    </cfRule>
    <cfRule type="cellIs" dxfId="654" priority="97" operator="equal">
      <formula>"f"</formula>
    </cfRule>
    <cfRule type="cellIs" dxfId="653" priority="98" operator="equal">
      <formula>9</formula>
    </cfRule>
    <cfRule type="cellIs" dxfId="652" priority="99" operator="equal">
      <formula>8</formula>
    </cfRule>
    <cfRule type="cellIs" dxfId="651" priority="100" operator="equal">
      <formula>5</formula>
    </cfRule>
    <cfRule type="cellIs" dxfId="650" priority="101" operator="equal">
      <formula>3</formula>
    </cfRule>
    <cfRule type="cellIs" dxfId="649" priority="102" operator="equal">
      <formula>6</formula>
    </cfRule>
    <cfRule type="cellIs" dxfId="648" priority="103" operator="equal">
      <formula>4</formula>
    </cfRule>
    <cfRule type="cellIs" dxfId="647" priority="104" operator="equal">
      <formula>2</formula>
    </cfRule>
    <cfRule type="cellIs" dxfId="646" priority="105" operator="equal">
      <formula>7</formula>
    </cfRule>
    <cfRule type="cellIs" dxfId="645" priority="106" operator="equal">
      <formula>1</formula>
    </cfRule>
  </conditionalFormatting>
  <conditionalFormatting sqref="T5:T36">
    <cfRule type="cellIs" dxfId="644" priority="81" operator="equal">
      <formula>"a"</formula>
    </cfRule>
    <cfRule type="cellIs" dxfId="643" priority="82" operator="equal">
      <formula>"k"</formula>
    </cfRule>
    <cfRule type="cellIs" dxfId="642" priority="83" operator="equal">
      <formula>"u"</formula>
    </cfRule>
    <cfRule type="cellIs" dxfId="641" priority="84" operator="equal">
      <formula>"f"</formula>
    </cfRule>
    <cfRule type="cellIs" dxfId="640" priority="85" operator="equal">
      <formula>9</formula>
    </cfRule>
    <cfRule type="cellIs" dxfId="639" priority="86" operator="equal">
      <formula>8</formula>
    </cfRule>
    <cfRule type="cellIs" dxfId="638" priority="87" operator="equal">
      <formula>5</formula>
    </cfRule>
    <cfRule type="cellIs" dxfId="637" priority="88" operator="equal">
      <formula>3</formula>
    </cfRule>
    <cfRule type="cellIs" dxfId="636" priority="89" operator="equal">
      <formula>6</formula>
    </cfRule>
    <cfRule type="cellIs" dxfId="635" priority="90" operator="equal">
      <formula>4</formula>
    </cfRule>
    <cfRule type="cellIs" dxfId="634" priority="91" operator="equal">
      <formula>2</formula>
    </cfRule>
    <cfRule type="cellIs" dxfId="633" priority="92" operator="equal">
      <formula>7</formula>
    </cfRule>
    <cfRule type="cellIs" dxfId="632" priority="93" operator="equal">
      <formula>1</formula>
    </cfRule>
  </conditionalFormatting>
  <conditionalFormatting sqref="F5:F36">
    <cfRule type="expression" dxfId="631" priority="68">
      <formula>COUNTIF(E5,"a")</formula>
    </cfRule>
    <cfRule type="expression" dxfId="630" priority="69">
      <formula>COUNTIF(E5,"9")</formula>
    </cfRule>
    <cfRule type="expression" dxfId="629" priority="70">
      <formula>COUNTIF(E5,"k")</formula>
    </cfRule>
    <cfRule type="expression" dxfId="628" priority="71">
      <formula>COUNTIF(E5,"u")</formula>
    </cfRule>
    <cfRule type="expression" dxfId="627" priority="72">
      <formula>COUNTIF(E5,"f")</formula>
    </cfRule>
    <cfRule type="expression" dxfId="626" priority="73">
      <formula>COUNTIF(E5,"8")</formula>
    </cfRule>
    <cfRule type="expression" dxfId="625" priority="74">
      <formula>COUNTIF(E5,"7")</formula>
    </cfRule>
    <cfRule type="expression" dxfId="624" priority="75">
      <formula>COUNTIF(E5,"3")</formula>
    </cfRule>
    <cfRule type="expression" dxfId="623" priority="77">
      <formula>COUNTIF(E5,"5")</formula>
    </cfRule>
    <cfRule type="expression" dxfId="622" priority="78">
      <formula>COUNTIF(E5,"2")</formula>
    </cfRule>
    <cfRule type="expression" dxfId="621" priority="79">
      <formula>COUNTIF(E5,"4")</formula>
    </cfRule>
    <cfRule type="expression" dxfId="620" priority="80">
      <formula>COUNTIF(E5,"1")</formula>
    </cfRule>
  </conditionalFormatting>
  <conditionalFormatting sqref="F5:F36">
    <cfRule type="expression" dxfId="619" priority="76">
      <formula>COUNTIF(E5,"6")</formula>
    </cfRule>
  </conditionalFormatting>
  <conditionalFormatting sqref="I5:I36">
    <cfRule type="expression" dxfId="618" priority="55">
      <formula>COUNTIF(H5,"a")</formula>
    </cfRule>
    <cfRule type="expression" dxfId="617" priority="56">
      <formula>COUNTIF(H5,"9")</formula>
    </cfRule>
    <cfRule type="expression" dxfId="616" priority="57">
      <formula>COUNTIF(H5,"k")</formula>
    </cfRule>
    <cfRule type="expression" dxfId="615" priority="58">
      <formula>COUNTIF(H5,"u")</formula>
    </cfRule>
    <cfRule type="expression" dxfId="614" priority="59">
      <formula>COUNTIF(H5,"f")</formula>
    </cfRule>
    <cfRule type="expression" dxfId="613" priority="60">
      <formula>COUNTIF(H5,"8")</formula>
    </cfRule>
    <cfRule type="expression" dxfId="612" priority="61">
      <formula>COUNTIF(H5,"7")</formula>
    </cfRule>
    <cfRule type="expression" dxfId="611" priority="62">
      <formula>COUNTIF(H5,"3")</formula>
    </cfRule>
    <cfRule type="expression" dxfId="610" priority="64">
      <formula>COUNTIF(H5,"5")</formula>
    </cfRule>
    <cfRule type="expression" dxfId="609" priority="65">
      <formula>COUNTIF(H5,"2")</formula>
    </cfRule>
    <cfRule type="expression" dxfId="608" priority="66">
      <formula>COUNTIF(H5,"4")</formula>
    </cfRule>
    <cfRule type="expression" dxfId="607" priority="67">
      <formula>COUNTIF(H5,"1")</formula>
    </cfRule>
  </conditionalFormatting>
  <conditionalFormatting sqref="I5:I36">
    <cfRule type="expression" dxfId="606" priority="63">
      <formula>COUNTIF(H5,"6")</formula>
    </cfRule>
  </conditionalFormatting>
  <conditionalFormatting sqref="L5:L36">
    <cfRule type="expression" dxfId="605" priority="42">
      <formula>COUNTIF(K5,"a")</formula>
    </cfRule>
    <cfRule type="expression" dxfId="604" priority="43">
      <formula>COUNTIF(K5,"9")</formula>
    </cfRule>
    <cfRule type="expression" dxfId="603" priority="44">
      <formula>COUNTIF(K5,"k")</formula>
    </cfRule>
    <cfRule type="expression" dxfId="602" priority="45">
      <formula>COUNTIF(K5,"u")</formula>
    </cfRule>
    <cfRule type="expression" dxfId="601" priority="46">
      <formula>COUNTIF(K5,"f")</formula>
    </cfRule>
    <cfRule type="expression" dxfId="600" priority="47">
      <formula>COUNTIF(K5,"8")</formula>
    </cfRule>
    <cfRule type="expression" dxfId="599" priority="48">
      <formula>COUNTIF(K5,"7")</formula>
    </cfRule>
    <cfRule type="expression" dxfId="598" priority="49">
      <formula>COUNTIF(K5,"3")</formula>
    </cfRule>
    <cfRule type="expression" dxfId="597" priority="51">
      <formula>COUNTIF(K5,"5")</formula>
    </cfRule>
    <cfRule type="expression" dxfId="596" priority="52">
      <formula>COUNTIF(K5,"2")</formula>
    </cfRule>
    <cfRule type="expression" dxfId="595" priority="53">
      <formula>COUNTIF(K5,"4")</formula>
    </cfRule>
    <cfRule type="expression" dxfId="594" priority="54">
      <formula>COUNTIF(K5,"1")</formula>
    </cfRule>
  </conditionalFormatting>
  <conditionalFormatting sqref="L5:L36">
    <cfRule type="expression" dxfId="593" priority="50">
      <formula>COUNTIF(K5,"6")</formula>
    </cfRule>
  </conditionalFormatting>
  <conditionalFormatting sqref="O5:O36">
    <cfRule type="expression" dxfId="592" priority="29">
      <formula>COUNTIF(N5,"a")</formula>
    </cfRule>
    <cfRule type="expression" dxfId="591" priority="30">
      <formula>COUNTIF(N5,"9")</formula>
    </cfRule>
    <cfRule type="expression" dxfId="590" priority="31">
      <formula>COUNTIF(N5,"k")</formula>
    </cfRule>
    <cfRule type="expression" dxfId="589" priority="32">
      <formula>COUNTIF(N5,"u")</formula>
    </cfRule>
    <cfRule type="expression" dxfId="588" priority="33">
      <formula>COUNTIF(N5,"f")</formula>
    </cfRule>
    <cfRule type="expression" dxfId="587" priority="34">
      <formula>COUNTIF(N5,"8")</formula>
    </cfRule>
    <cfRule type="expression" dxfId="586" priority="35">
      <formula>COUNTIF(N5,"7")</formula>
    </cfRule>
    <cfRule type="expression" dxfId="585" priority="36">
      <formula>COUNTIF(N5,"3")</formula>
    </cfRule>
    <cfRule type="expression" dxfId="584" priority="38">
      <formula>COUNTIF(N5,"5")</formula>
    </cfRule>
    <cfRule type="expression" dxfId="583" priority="39">
      <formula>COUNTIF(N5,"2")</formula>
    </cfRule>
    <cfRule type="expression" dxfId="582" priority="40">
      <formula>COUNTIF(N5,"4")</formula>
    </cfRule>
    <cfRule type="expression" dxfId="581" priority="41">
      <formula>COUNTIF(N5,"1")</formula>
    </cfRule>
  </conditionalFormatting>
  <conditionalFormatting sqref="O5:O36">
    <cfRule type="expression" dxfId="580" priority="37">
      <formula>COUNTIF(N5,"6")</formula>
    </cfRule>
  </conditionalFormatting>
  <conditionalFormatting sqref="R5:R36">
    <cfRule type="expression" dxfId="579" priority="16">
      <formula>COUNTIF(Q5,"a")</formula>
    </cfRule>
    <cfRule type="expression" dxfId="578" priority="17">
      <formula>COUNTIF(Q5,"9")</formula>
    </cfRule>
    <cfRule type="expression" dxfId="577" priority="18">
      <formula>COUNTIF(Q5,"k")</formula>
    </cfRule>
    <cfRule type="expression" dxfId="576" priority="19">
      <formula>COUNTIF(Q5,"u")</formula>
    </cfRule>
    <cfRule type="expression" dxfId="575" priority="20">
      <formula>COUNTIF(Q5,"f")</formula>
    </cfRule>
    <cfRule type="expression" dxfId="574" priority="21">
      <formula>COUNTIF(Q5,"8")</formula>
    </cfRule>
    <cfRule type="expression" dxfId="573" priority="22">
      <formula>COUNTIF(Q5,"7")</formula>
    </cfRule>
    <cfRule type="expression" dxfId="572" priority="23">
      <formula>COUNTIF(Q5,"3")</formula>
    </cfRule>
    <cfRule type="expression" dxfId="571" priority="25">
      <formula>COUNTIF(Q5,"5")</formula>
    </cfRule>
    <cfRule type="expression" dxfId="570" priority="26">
      <formula>COUNTIF(Q5,"2")</formula>
    </cfRule>
    <cfRule type="expression" dxfId="569" priority="27">
      <formula>COUNTIF(Q5,"4")</formula>
    </cfRule>
    <cfRule type="expression" dxfId="568" priority="28">
      <formula>COUNTIF(Q5,"1")</formula>
    </cfRule>
  </conditionalFormatting>
  <conditionalFormatting sqref="R5:R36">
    <cfRule type="expression" dxfId="567" priority="24">
      <formula>COUNTIF(Q5,"6")</formula>
    </cfRule>
  </conditionalFormatting>
  <conditionalFormatting sqref="U5:U36">
    <cfRule type="expression" dxfId="566" priority="3">
      <formula>COUNTIF(T5,"a")</formula>
    </cfRule>
    <cfRule type="expression" dxfId="565" priority="4">
      <formula>COUNTIF(T5,"9")</formula>
    </cfRule>
    <cfRule type="expression" dxfId="564" priority="5">
      <formula>COUNTIF(T5,"k")</formula>
    </cfRule>
    <cfRule type="expression" dxfId="563" priority="6">
      <formula>COUNTIF(T5,"u")</formula>
    </cfRule>
    <cfRule type="expression" dxfId="562" priority="7">
      <formula>COUNTIF(T5,"f")</formula>
    </cfRule>
    <cfRule type="expression" dxfId="561" priority="8">
      <formula>COUNTIF(T5,"8")</formula>
    </cfRule>
    <cfRule type="expression" dxfId="560" priority="9">
      <formula>COUNTIF(T5,"7")</formula>
    </cfRule>
    <cfRule type="expression" dxfId="559" priority="10">
      <formula>COUNTIF(T5,"3")</formula>
    </cfRule>
    <cfRule type="expression" dxfId="558" priority="12">
      <formula>COUNTIF(T5,"5")</formula>
    </cfRule>
    <cfRule type="expression" dxfId="557" priority="13">
      <formula>COUNTIF(T5,"2")</formula>
    </cfRule>
    <cfRule type="expression" dxfId="556" priority="14">
      <formula>COUNTIF(T5,"4")</formula>
    </cfRule>
    <cfRule type="expression" dxfId="555" priority="15">
      <formula>COUNTIF(T5,"1")</formula>
    </cfRule>
  </conditionalFormatting>
  <conditionalFormatting sqref="U5:U36">
    <cfRule type="expression" dxfId="554" priority="11">
      <formula>COUNTIF(T5,"6")</formula>
    </cfRule>
  </conditionalFormatting>
  <conditionalFormatting sqref="V32">
    <cfRule type="cellIs" dxfId="553" priority="1" operator="lessThan">
      <formula>0</formula>
    </cfRule>
    <cfRule type="cellIs" dxfId="552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9199AB5-567A-694A-9B8B-2BFD8012CCF2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A325-EF33-754D-B5BF-837A26959EB3}">
  <sheetPr codeName="Tabelle96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51</v>
      </c>
      <c r="Q1" s="176"/>
      <c r="R1" s="79">
        <f>DATE(V1,1,7*P1-3-WEEKDAY(DATE(V1,,),3))</f>
        <v>45642</v>
      </c>
      <c r="S1" s="80" t="s">
        <v>1</v>
      </c>
      <c r="T1" s="177">
        <f>DATE(V1,1,7*P1+3-WEEKDAY(DATE(V1,,),3))</f>
        <v>45648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45642</v>
      </c>
      <c r="B2" s="178"/>
      <c r="C2" s="178"/>
      <c r="D2" s="178">
        <f>A2+1</f>
        <v>45643</v>
      </c>
      <c r="E2" s="179"/>
      <c r="F2" s="179"/>
      <c r="G2" s="178">
        <f>D2+1</f>
        <v>45644</v>
      </c>
      <c r="H2" s="179"/>
      <c r="I2" s="179"/>
      <c r="J2" s="178">
        <f>G2+1</f>
        <v>45645</v>
      </c>
      <c r="K2" s="179"/>
      <c r="L2" s="179"/>
      <c r="M2" s="178">
        <f>J2+1</f>
        <v>45646</v>
      </c>
      <c r="N2" s="179"/>
      <c r="O2" s="179"/>
      <c r="P2" s="178">
        <f>M2+1</f>
        <v>45647</v>
      </c>
      <c r="Q2" s="179"/>
      <c r="R2" s="179"/>
      <c r="S2" s="178">
        <f>P2+1</f>
        <v>45648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45642</v>
      </c>
      <c r="B3" s="168"/>
      <c r="C3" s="168"/>
      <c r="D3" s="168">
        <f>A3+1</f>
        <v>45643</v>
      </c>
      <c r="E3" s="168"/>
      <c r="F3" s="168"/>
      <c r="G3" s="168">
        <f>D3+1</f>
        <v>45644</v>
      </c>
      <c r="H3" s="168"/>
      <c r="I3" s="168"/>
      <c r="J3" s="168">
        <f>G3+1</f>
        <v>45645</v>
      </c>
      <c r="K3" s="168"/>
      <c r="L3" s="168"/>
      <c r="M3" s="168">
        <f>J3+1</f>
        <v>45646</v>
      </c>
      <c r="N3" s="168"/>
      <c r="O3" s="168"/>
      <c r="P3" s="168">
        <f>M3+1</f>
        <v>45647</v>
      </c>
      <c r="Q3" s="168"/>
      <c r="R3" s="168"/>
      <c r="S3" s="168">
        <f>P3+1</f>
        <v>45648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45642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45643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45644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45645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45646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45647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45648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50'!V32</f>
        <v>-2000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-2040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551" priority="159">
      <formula>COUNTIF(B5,"a")</formula>
    </cfRule>
    <cfRule type="expression" dxfId="550" priority="161">
      <formula>COUNTIF(B5,"9")</formula>
    </cfRule>
    <cfRule type="expression" dxfId="549" priority="163">
      <formula>COUNTIF(B5,"k")</formula>
    </cfRule>
    <cfRule type="expression" dxfId="548" priority="164">
      <formula>COUNTIF(B5,"u")</formula>
    </cfRule>
    <cfRule type="expression" dxfId="547" priority="167">
      <formula>COUNTIF(B5,"f")</formula>
    </cfRule>
    <cfRule type="expression" dxfId="546" priority="168">
      <formula>COUNTIF(B5,"8")</formula>
    </cfRule>
    <cfRule type="expression" dxfId="545" priority="169">
      <formula>COUNTIF(B5,"7")</formula>
    </cfRule>
    <cfRule type="expression" dxfId="544" priority="170">
      <formula>COUNTIF(B5,"3")</formula>
    </cfRule>
    <cfRule type="expression" dxfId="543" priority="181">
      <formula>COUNTIF(B5,"5")</formula>
    </cfRule>
    <cfRule type="expression" dxfId="542" priority="182">
      <formula>COUNTIF(B5,"2")</formula>
    </cfRule>
    <cfRule type="expression" dxfId="541" priority="183">
      <formula>COUNTIF(B5,"4")</formula>
    </cfRule>
    <cfRule type="expression" dxfId="540" priority="184">
      <formula>COUNTIF(B5,"1")</formula>
    </cfRule>
  </conditionalFormatting>
  <conditionalFormatting sqref="B5:B36">
    <cfRule type="cellIs" dxfId="539" priority="160" operator="equal">
      <formula>"a"</formula>
    </cfRule>
    <cfRule type="cellIs" dxfId="538" priority="162" operator="equal">
      <formula>"k"</formula>
    </cfRule>
    <cfRule type="cellIs" dxfId="537" priority="165" operator="equal">
      <formula>"u"</formula>
    </cfRule>
    <cfRule type="cellIs" dxfId="536" priority="166" operator="equal">
      <formula>"f"</formula>
    </cfRule>
    <cfRule type="cellIs" dxfId="535" priority="171" operator="equal">
      <formula>9</formula>
    </cfRule>
    <cfRule type="cellIs" dxfId="534" priority="172" operator="equal">
      <formula>8</formula>
    </cfRule>
    <cfRule type="cellIs" dxfId="533" priority="173" operator="equal">
      <formula>5</formula>
    </cfRule>
    <cfRule type="cellIs" dxfId="532" priority="174" operator="equal">
      <formula>3</formula>
    </cfRule>
    <cfRule type="cellIs" dxfId="531" priority="176" operator="equal">
      <formula>6</formula>
    </cfRule>
    <cfRule type="cellIs" dxfId="530" priority="177" operator="equal">
      <formula>4</formula>
    </cfRule>
    <cfRule type="cellIs" dxfId="529" priority="178" operator="equal">
      <formula>2</formula>
    </cfRule>
    <cfRule type="cellIs" dxfId="528" priority="179" operator="equal">
      <formula>7</formula>
    </cfRule>
    <cfRule type="cellIs" dxfId="527" priority="180" operator="equal">
      <formula>1</formula>
    </cfRule>
  </conditionalFormatting>
  <conditionalFormatting sqref="C5:C36">
    <cfRule type="expression" dxfId="526" priority="175">
      <formula>COUNTIF(B5,"6")</formula>
    </cfRule>
  </conditionalFormatting>
  <conditionalFormatting sqref="E5:E36">
    <cfRule type="cellIs" dxfId="525" priority="146" operator="equal">
      <formula>"a"</formula>
    </cfRule>
    <cfRule type="cellIs" dxfId="524" priority="147" operator="equal">
      <formula>"k"</formula>
    </cfRule>
    <cfRule type="cellIs" dxfId="523" priority="148" operator="equal">
      <formula>"u"</formula>
    </cfRule>
    <cfRule type="cellIs" dxfId="522" priority="149" operator="equal">
      <formula>"f"</formula>
    </cfRule>
    <cfRule type="cellIs" dxfId="521" priority="150" operator="equal">
      <formula>9</formula>
    </cfRule>
    <cfRule type="cellIs" dxfId="520" priority="151" operator="equal">
      <formula>8</formula>
    </cfRule>
    <cfRule type="cellIs" dxfId="519" priority="152" operator="equal">
      <formula>5</formula>
    </cfRule>
    <cfRule type="cellIs" dxfId="518" priority="153" operator="equal">
      <formula>3</formula>
    </cfRule>
    <cfRule type="cellIs" dxfId="517" priority="154" operator="equal">
      <formula>6</formula>
    </cfRule>
    <cfRule type="cellIs" dxfId="516" priority="155" operator="equal">
      <formula>4</formula>
    </cfRule>
    <cfRule type="cellIs" dxfId="515" priority="156" operator="equal">
      <formula>2</formula>
    </cfRule>
    <cfRule type="cellIs" dxfId="514" priority="157" operator="equal">
      <formula>7</formula>
    </cfRule>
    <cfRule type="cellIs" dxfId="513" priority="158" operator="equal">
      <formula>1</formula>
    </cfRule>
  </conditionalFormatting>
  <conditionalFormatting sqref="H5:H36">
    <cfRule type="cellIs" dxfId="512" priority="133" operator="equal">
      <formula>"a"</formula>
    </cfRule>
    <cfRule type="cellIs" dxfId="511" priority="134" operator="equal">
      <formula>"k"</formula>
    </cfRule>
    <cfRule type="cellIs" dxfId="510" priority="135" operator="equal">
      <formula>"u"</formula>
    </cfRule>
    <cfRule type="cellIs" dxfId="509" priority="136" operator="equal">
      <formula>"f"</formula>
    </cfRule>
    <cfRule type="cellIs" dxfId="508" priority="137" operator="equal">
      <formula>9</formula>
    </cfRule>
    <cfRule type="cellIs" dxfId="507" priority="138" operator="equal">
      <formula>8</formula>
    </cfRule>
    <cfRule type="cellIs" dxfId="506" priority="139" operator="equal">
      <formula>5</formula>
    </cfRule>
    <cfRule type="cellIs" dxfId="505" priority="140" operator="equal">
      <formula>3</formula>
    </cfRule>
    <cfRule type="cellIs" dxfId="504" priority="141" operator="equal">
      <formula>6</formula>
    </cfRule>
    <cfRule type="cellIs" dxfId="503" priority="142" operator="equal">
      <formula>4</formula>
    </cfRule>
    <cfRule type="cellIs" dxfId="502" priority="143" operator="equal">
      <formula>2</formula>
    </cfRule>
    <cfRule type="cellIs" dxfId="501" priority="144" operator="equal">
      <formula>7</formula>
    </cfRule>
    <cfRule type="cellIs" dxfId="500" priority="145" operator="equal">
      <formula>1</formula>
    </cfRule>
  </conditionalFormatting>
  <conditionalFormatting sqref="K5:K36">
    <cfRule type="cellIs" dxfId="499" priority="120" operator="equal">
      <formula>"a"</formula>
    </cfRule>
    <cfRule type="cellIs" dxfId="498" priority="121" operator="equal">
      <formula>"k"</formula>
    </cfRule>
    <cfRule type="cellIs" dxfId="497" priority="122" operator="equal">
      <formula>"u"</formula>
    </cfRule>
    <cfRule type="cellIs" dxfId="496" priority="123" operator="equal">
      <formula>"f"</formula>
    </cfRule>
    <cfRule type="cellIs" dxfId="495" priority="124" operator="equal">
      <formula>9</formula>
    </cfRule>
    <cfRule type="cellIs" dxfId="494" priority="125" operator="equal">
      <formula>8</formula>
    </cfRule>
    <cfRule type="cellIs" dxfId="493" priority="126" operator="equal">
      <formula>5</formula>
    </cfRule>
    <cfRule type="cellIs" dxfId="492" priority="127" operator="equal">
      <formula>3</formula>
    </cfRule>
    <cfRule type="cellIs" dxfId="491" priority="128" operator="equal">
      <formula>6</formula>
    </cfRule>
    <cfRule type="cellIs" dxfId="490" priority="129" operator="equal">
      <formula>4</formula>
    </cfRule>
    <cfRule type="cellIs" dxfId="489" priority="130" operator="equal">
      <formula>2</formula>
    </cfRule>
    <cfRule type="cellIs" dxfId="488" priority="131" operator="equal">
      <formula>7</formula>
    </cfRule>
    <cfRule type="cellIs" dxfId="487" priority="132" operator="equal">
      <formula>1</formula>
    </cfRule>
  </conditionalFormatting>
  <conditionalFormatting sqref="N5:N36">
    <cfRule type="cellIs" dxfId="486" priority="107" operator="equal">
      <formula>"a"</formula>
    </cfRule>
    <cfRule type="cellIs" dxfId="485" priority="108" operator="equal">
      <formula>"k"</formula>
    </cfRule>
    <cfRule type="cellIs" dxfId="484" priority="109" operator="equal">
      <formula>"u"</formula>
    </cfRule>
    <cfRule type="cellIs" dxfId="483" priority="110" operator="equal">
      <formula>"f"</formula>
    </cfRule>
    <cfRule type="cellIs" dxfId="482" priority="111" operator="equal">
      <formula>9</formula>
    </cfRule>
    <cfRule type="cellIs" dxfId="481" priority="112" operator="equal">
      <formula>8</formula>
    </cfRule>
    <cfRule type="cellIs" dxfId="480" priority="113" operator="equal">
      <formula>5</formula>
    </cfRule>
    <cfRule type="cellIs" dxfId="479" priority="114" operator="equal">
      <formula>3</formula>
    </cfRule>
    <cfRule type="cellIs" dxfId="478" priority="115" operator="equal">
      <formula>6</formula>
    </cfRule>
    <cfRule type="cellIs" dxfId="477" priority="116" operator="equal">
      <formula>4</formula>
    </cfRule>
    <cfRule type="cellIs" dxfId="476" priority="117" operator="equal">
      <formula>2</formula>
    </cfRule>
    <cfRule type="cellIs" dxfId="475" priority="118" operator="equal">
      <formula>7</formula>
    </cfRule>
    <cfRule type="cellIs" dxfId="474" priority="119" operator="equal">
      <formula>1</formula>
    </cfRule>
  </conditionalFormatting>
  <conditionalFormatting sqref="Q5:Q36">
    <cfRule type="cellIs" dxfId="473" priority="94" operator="equal">
      <formula>"a"</formula>
    </cfRule>
    <cfRule type="cellIs" dxfId="472" priority="95" operator="equal">
      <formula>"k"</formula>
    </cfRule>
    <cfRule type="cellIs" dxfId="471" priority="96" operator="equal">
      <formula>"u"</formula>
    </cfRule>
    <cfRule type="cellIs" dxfId="470" priority="97" operator="equal">
      <formula>"f"</formula>
    </cfRule>
    <cfRule type="cellIs" dxfId="469" priority="98" operator="equal">
      <formula>9</formula>
    </cfRule>
    <cfRule type="cellIs" dxfId="468" priority="99" operator="equal">
      <formula>8</formula>
    </cfRule>
    <cfRule type="cellIs" dxfId="467" priority="100" operator="equal">
      <formula>5</formula>
    </cfRule>
    <cfRule type="cellIs" dxfId="466" priority="101" operator="equal">
      <formula>3</formula>
    </cfRule>
    <cfRule type="cellIs" dxfId="465" priority="102" operator="equal">
      <formula>6</formula>
    </cfRule>
    <cfRule type="cellIs" dxfId="464" priority="103" operator="equal">
      <formula>4</formula>
    </cfRule>
    <cfRule type="cellIs" dxfId="463" priority="104" operator="equal">
      <formula>2</formula>
    </cfRule>
    <cfRule type="cellIs" dxfId="462" priority="105" operator="equal">
      <formula>7</formula>
    </cfRule>
    <cfRule type="cellIs" dxfId="461" priority="106" operator="equal">
      <formula>1</formula>
    </cfRule>
  </conditionalFormatting>
  <conditionalFormatting sqref="T5:T36">
    <cfRule type="cellIs" dxfId="460" priority="81" operator="equal">
      <formula>"a"</formula>
    </cfRule>
    <cfRule type="cellIs" dxfId="459" priority="82" operator="equal">
      <formula>"k"</formula>
    </cfRule>
    <cfRule type="cellIs" dxfId="458" priority="83" operator="equal">
      <formula>"u"</formula>
    </cfRule>
    <cfRule type="cellIs" dxfId="457" priority="84" operator="equal">
      <formula>"f"</formula>
    </cfRule>
    <cfRule type="cellIs" dxfId="456" priority="85" operator="equal">
      <formula>9</formula>
    </cfRule>
    <cfRule type="cellIs" dxfId="455" priority="86" operator="equal">
      <formula>8</formula>
    </cfRule>
    <cfRule type="cellIs" dxfId="454" priority="87" operator="equal">
      <formula>5</formula>
    </cfRule>
    <cfRule type="cellIs" dxfId="453" priority="88" operator="equal">
      <formula>3</formula>
    </cfRule>
    <cfRule type="cellIs" dxfId="452" priority="89" operator="equal">
      <formula>6</formula>
    </cfRule>
    <cfRule type="cellIs" dxfId="451" priority="90" operator="equal">
      <formula>4</formula>
    </cfRule>
    <cfRule type="cellIs" dxfId="450" priority="91" operator="equal">
      <formula>2</formula>
    </cfRule>
    <cfRule type="cellIs" dxfId="449" priority="92" operator="equal">
      <formula>7</formula>
    </cfRule>
    <cfRule type="cellIs" dxfId="448" priority="93" operator="equal">
      <formula>1</formula>
    </cfRule>
  </conditionalFormatting>
  <conditionalFormatting sqref="F5:F36">
    <cfRule type="expression" dxfId="447" priority="68">
      <formula>COUNTIF(E5,"a")</formula>
    </cfRule>
    <cfRule type="expression" dxfId="446" priority="69">
      <formula>COUNTIF(E5,"9")</formula>
    </cfRule>
    <cfRule type="expression" dxfId="445" priority="70">
      <formula>COUNTIF(E5,"k")</formula>
    </cfRule>
    <cfRule type="expression" dxfId="444" priority="71">
      <formula>COUNTIF(E5,"u")</formula>
    </cfRule>
    <cfRule type="expression" dxfId="443" priority="72">
      <formula>COUNTIF(E5,"f")</formula>
    </cfRule>
    <cfRule type="expression" dxfId="442" priority="73">
      <formula>COUNTIF(E5,"8")</formula>
    </cfRule>
    <cfRule type="expression" dxfId="441" priority="74">
      <formula>COUNTIF(E5,"7")</formula>
    </cfRule>
    <cfRule type="expression" dxfId="440" priority="75">
      <formula>COUNTIF(E5,"3")</formula>
    </cfRule>
    <cfRule type="expression" dxfId="439" priority="77">
      <formula>COUNTIF(E5,"5")</formula>
    </cfRule>
    <cfRule type="expression" dxfId="438" priority="78">
      <formula>COUNTIF(E5,"2")</formula>
    </cfRule>
    <cfRule type="expression" dxfId="437" priority="79">
      <formula>COUNTIF(E5,"4")</formula>
    </cfRule>
    <cfRule type="expression" dxfId="436" priority="80">
      <formula>COUNTIF(E5,"1")</formula>
    </cfRule>
  </conditionalFormatting>
  <conditionalFormatting sqref="F5:F36">
    <cfRule type="expression" dxfId="435" priority="76">
      <formula>COUNTIF(E5,"6")</formula>
    </cfRule>
  </conditionalFormatting>
  <conditionalFormatting sqref="I5:I36">
    <cfRule type="expression" dxfId="434" priority="55">
      <formula>COUNTIF(H5,"a")</formula>
    </cfRule>
    <cfRule type="expression" dxfId="433" priority="56">
      <formula>COUNTIF(H5,"9")</formula>
    </cfRule>
    <cfRule type="expression" dxfId="432" priority="57">
      <formula>COUNTIF(H5,"k")</formula>
    </cfRule>
    <cfRule type="expression" dxfId="431" priority="58">
      <formula>COUNTIF(H5,"u")</formula>
    </cfRule>
    <cfRule type="expression" dxfId="430" priority="59">
      <formula>COUNTIF(H5,"f")</formula>
    </cfRule>
    <cfRule type="expression" dxfId="429" priority="60">
      <formula>COUNTIF(H5,"8")</formula>
    </cfRule>
    <cfRule type="expression" dxfId="428" priority="61">
      <formula>COUNTIF(H5,"7")</formula>
    </cfRule>
    <cfRule type="expression" dxfId="427" priority="62">
      <formula>COUNTIF(H5,"3")</formula>
    </cfRule>
    <cfRule type="expression" dxfId="426" priority="64">
      <formula>COUNTIF(H5,"5")</formula>
    </cfRule>
    <cfRule type="expression" dxfId="425" priority="65">
      <formula>COUNTIF(H5,"2")</formula>
    </cfRule>
    <cfRule type="expression" dxfId="424" priority="66">
      <formula>COUNTIF(H5,"4")</formula>
    </cfRule>
    <cfRule type="expression" dxfId="423" priority="67">
      <formula>COUNTIF(H5,"1")</formula>
    </cfRule>
  </conditionalFormatting>
  <conditionalFormatting sqref="I5:I36">
    <cfRule type="expression" dxfId="422" priority="63">
      <formula>COUNTIF(H5,"6")</formula>
    </cfRule>
  </conditionalFormatting>
  <conditionalFormatting sqref="L5:L36">
    <cfRule type="expression" dxfId="421" priority="42">
      <formula>COUNTIF(K5,"a")</formula>
    </cfRule>
    <cfRule type="expression" dxfId="420" priority="43">
      <formula>COUNTIF(K5,"9")</formula>
    </cfRule>
    <cfRule type="expression" dxfId="419" priority="44">
      <formula>COUNTIF(K5,"k")</formula>
    </cfRule>
    <cfRule type="expression" dxfId="418" priority="45">
      <formula>COUNTIF(K5,"u")</formula>
    </cfRule>
    <cfRule type="expression" dxfId="417" priority="46">
      <formula>COUNTIF(K5,"f")</formula>
    </cfRule>
    <cfRule type="expression" dxfId="416" priority="47">
      <formula>COUNTIF(K5,"8")</formula>
    </cfRule>
    <cfRule type="expression" dxfId="415" priority="48">
      <formula>COUNTIF(K5,"7")</formula>
    </cfRule>
    <cfRule type="expression" dxfId="414" priority="49">
      <formula>COUNTIF(K5,"3")</formula>
    </cfRule>
    <cfRule type="expression" dxfId="413" priority="51">
      <formula>COUNTIF(K5,"5")</formula>
    </cfRule>
    <cfRule type="expression" dxfId="412" priority="52">
      <formula>COUNTIF(K5,"2")</formula>
    </cfRule>
    <cfRule type="expression" dxfId="411" priority="53">
      <formula>COUNTIF(K5,"4")</formula>
    </cfRule>
    <cfRule type="expression" dxfId="410" priority="54">
      <formula>COUNTIF(K5,"1")</formula>
    </cfRule>
  </conditionalFormatting>
  <conditionalFormatting sqref="L5:L36">
    <cfRule type="expression" dxfId="409" priority="50">
      <formula>COUNTIF(K5,"6")</formula>
    </cfRule>
  </conditionalFormatting>
  <conditionalFormatting sqref="O5:O36">
    <cfRule type="expression" dxfId="408" priority="29">
      <formula>COUNTIF(N5,"a")</formula>
    </cfRule>
    <cfRule type="expression" dxfId="407" priority="30">
      <formula>COUNTIF(N5,"9")</formula>
    </cfRule>
    <cfRule type="expression" dxfId="406" priority="31">
      <formula>COUNTIF(N5,"k")</formula>
    </cfRule>
    <cfRule type="expression" dxfId="405" priority="32">
      <formula>COUNTIF(N5,"u")</formula>
    </cfRule>
    <cfRule type="expression" dxfId="404" priority="33">
      <formula>COUNTIF(N5,"f")</formula>
    </cfRule>
    <cfRule type="expression" dxfId="403" priority="34">
      <formula>COUNTIF(N5,"8")</formula>
    </cfRule>
    <cfRule type="expression" dxfId="402" priority="35">
      <formula>COUNTIF(N5,"7")</formula>
    </cfRule>
    <cfRule type="expression" dxfId="401" priority="36">
      <formula>COUNTIF(N5,"3")</formula>
    </cfRule>
    <cfRule type="expression" dxfId="400" priority="38">
      <formula>COUNTIF(N5,"5")</formula>
    </cfRule>
    <cfRule type="expression" dxfId="399" priority="39">
      <formula>COUNTIF(N5,"2")</formula>
    </cfRule>
    <cfRule type="expression" dxfId="398" priority="40">
      <formula>COUNTIF(N5,"4")</formula>
    </cfRule>
    <cfRule type="expression" dxfId="397" priority="41">
      <formula>COUNTIF(N5,"1")</formula>
    </cfRule>
  </conditionalFormatting>
  <conditionalFormatting sqref="O5:O36">
    <cfRule type="expression" dxfId="396" priority="37">
      <formula>COUNTIF(N5,"6")</formula>
    </cfRule>
  </conditionalFormatting>
  <conditionalFormatting sqref="R5:R36">
    <cfRule type="expression" dxfId="395" priority="16">
      <formula>COUNTIF(Q5,"a")</formula>
    </cfRule>
    <cfRule type="expression" dxfId="394" priority="17">
      <formula>COUNTIF(Q5,"9")</formula>
    </cfRule>
    <cfRule type="expression" dxfId="393" priority="18">
      <formula>COUNTIF(Q5,"k")</formula>
    </cfRule>
    <cfRule type="expression" dxfId="392" priority="19">
      <formula>COUNTIF(Q5,"u")</formula>
    </cfRule>
    <cfRule type="expression" dxfId="391" priority="20">
      <formula>COUNTIF(Q5,"f")</formula>
    </cfRule>
    <cfRule type="expression" dxfId="390" priority="21">
      <formula>COUNTIF(Q5,"8")</formula>
    </cfRule>
    <cfRule type="expression" dxfId="389" priority="22">
      <formula>COUNTIF(Q5,"7")</formula>
    </cfRule>
    <cfRule type="expression" dxfId="388" priority="23">
      <formula>COUNTIF(Q5,"3")</formula>
    </cfRule>
    <cfRule type="expression" dxfId="387" priority="25">
      <formula>COUNTIF(Q5,"5")</formula>
    </cfRule>
    <cfRule type="expression" dxfId="386" priority="26">
      <formula>COUNTIF(Q5,"2")</formula>
    </cfRule>
    <cfRule type="expression" dxfId="385" priority="27">
      <formula>COUNTIF(Q5,"4")</formula>
    </cfRule>
    <cfRule type="expression" dxfId="384" priority="28">
      <formula>COUNTIF(Q5,"1")</formula>
    </cfRule>
  </conditionalFormatting>
  <conditionalFormatting sqref="R5:R36">
    <cfRule type="expression" dxfId="383" priority="24">
      <formula>COUNTIF(Q5,"6")</formula>
    </cfRule>
  </conditionalFormatting>
  <conditionalFormatting sqref="U5:U36">
    <cfRule type="expression" dxfId="382" priority="3">
      <formula>COUNTIF(T5,"a")</formula>
    </cfRule>
    <cfRule type="expression" dxfId="381" priority="4">
      <formula>COUNTIF(T5,"9")</formula>
    </cfRule>
    <cfRule type="expression" dxfId="380" priority="5">
      <formula>COUNTIF(T5,"k")</formula>
    </cfRule>
    <cfRule type="expression" dxfId="379" priority="6">
      <formula>COUNTIF(T5,"u")</formula>
    </cfRule>
    <cfRule type="expression" dxfId="378" priority="7">
      <formula>COUNTIF(T5,"f")</formula>
    </cfRule>
    <cfRule type="expression" dxfId="377" priority="8">
      <formula>COUNTIF(T5,"8")</formula>
    </cfRule>
    <cfRule type="expression" dxfId="376" priority="9">
      <formula>COUNTIF(T5,"7")</formula>
    </cfRule>
    <cfRule type="expression" dxfId="375" priority="10">
      <formula>COUNTIF(T5,"3")</formula>
    </cfRule>
    <cfRule type="expression" dxfId="374" priority="12">
      <formula>COUNTIF(T5,"5")</formula>
    </cfRule>
    <cfRule type="expression" dxfId="373" priority="13">
      <formula>COUNTIF(T5,"2")</formula>
    </cfRule>
    <cfRule type="expression" dxfId="372" priority="14">
      <formula>COUNTIF(T5,"4")</formula>
    </cfRule>
    <cfRule type="expression" dxfId="371" priority="15">
      <formula>COUNTIF(T5,"1")</formula>
    </cfRule>
  </conditionalFormatting>
  <conditionalFormatting sqref="U5:U36">
    <cfRule type="expression" dxfId="370" priority="11">
      <formula>COUNTIF(T5,"6")</formula>
    </cfRule>
  </conditionalFormatting>
  <conditionalFormatting sqref="V32">
    <cfRule type="cellIs" dxfId="369" priority="1" operator="lessThan">
      <formula>0</formula>
    </cfRule>
    <cfRule type="cellIs" dxfId="368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84AF0214-240A-B140-A332-044716D9AD9F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195D5-8926-464C-9DA3-531DB77086B5}">
  <sheetPr codeName="Tabelle97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52</v>
      </c>
      <c r="Q1" s="176"/>
      <c r="R1" s="79">
        <f>DATE(V1,1,7*P1-3-WEEKDAY(DATE(V1,,),3))</f>
        <v>45649</v>
      </c>
      <c r="S1" s="80" t="s">
        <v>1</v>
      </c>
      <c r="T1" s="177">
        <f>DATE(V1,1,7*P1+3-WEEKDAY(DATE(V1,,),3))</f>
        <v>45655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45649</v>
      </c>
      <c r="B2" s="178"/>
      <c r="C2" s="178"/>
      <c r="D2" s="178">
        <f>A2+1</f>
        <v>45650</v>
      </c>
      <c r="E2" s="179"/>
      <c r="F2" s="179"/>
      <c r="G2" s="178">
        <f>D2+1</f>
        <v>45651</v>
      </c>
      <c r="H2" s="179"/>
      <c r="I2" s="179"/>
      <c r="J2" s="178">
        <f>G2+1</f>
        <v>45652</v>
      </c>
      <c r="K2" s="179"/>
      <c r="L2" s="179"/>
      <c r="M2" s="178">
        <f>J2+1</f>
        <v>45653</v>
      </c>
      <c r="N2" s="179"/>
      <c r="O2" s="179"/>
      <c r="P2" s="178">
        <f>M2+1</f>
        <v>45654</v>
      </c>
      <c r="Q2" s="179"/>
      <c r="R2" s="179"/>
      <c r="S2" s="178">
        <f>P2+1</f>
        <v>45655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45649</v>
      </c>
      <c r="B3" s="168"/>
      <c r="C3" s="168"/>
      <c r="D3" s="168">
        <f>A3+1</f>
        <v>45650</v>
      </c>
      <c r="E3" s="168"/>
      <c r="F3" s="168"/>
      <c r="G3" s="168">
        <f>D3+1</f>
        <v>45651</v>
      </c>
      <c r="H3" s="168"/>
      <c r="I3" s="168"/>
      <c r="J3" s="168">
        <f>G3+1</f>
        <v>45652</v>
      </c>
      <c r="K3" s="168"/>
      <c r="L3" s="168"/>
      <c r="M3" s="168">
        <f>J3+1</f>
        <v>45653</v>
      </c>
      <c r="N3" s="168"/>
      <c r="O3" s="168"/>
      <c r="P3" s="168">
        <f>M3+1</f>
        <v>45654</v>
      </c>
      <c r="Q3" s="168"/>
      <c r="R3" s="168"/>
      <c r="S3" s="168">
        <f>P3+1</f>
        <v>45655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45649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45650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45651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45652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45653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45654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45655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51'!V32</f>
        <v>-2040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-2080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367" priority="159">
      <formula>COUNTIF(B5,"a")</formula>
    </cfRule>
    <cfRule type="expression" dxfId="366" priority="161">
      <formula>COUNTIF(B5,"9")</formula>
    </cfRule>
    <cfRule type="expression" dxfId="365" priority="163">
      <formula>COUNTIF(B5,"k")</formula>
    </cfRule>
    <cfRule type="expression" dxfId="364" priority="164">
      <formula>COUNTIF(B5,"u")</formula>
    </cfRule>
    <cfRule type="expression" dxfId="363" priority="167">
      <formula>COUNTIF(B5,"f")</formula>
    </cfRule>
    <cfRule type="expression" dxfId="362" priority="168">
      <formula>COUNTIF(B5,"8")</formula>
    </cfRule>
    <cfRule type="expression" dxfId="361" priority="169">
      <formula>COUNTIF(B5,"7")</formula>
    </cfRule>
    <cfRule type="expression" dxfId="360" priority="170">
      <formula>COUNTIF(B5,"3")</formula>
    </cfRule>
    <cfRule type="expression" dxfId="359" priority="181">
      <formula>COUNTIF(B5,"5")</formula>
    </cfRule>
    <cfRule type="expression" dxfId="358" priority="182">
      <formula>COUNTIF(B5,"2")</formula>
    </cfRule>
    <cfRule type="expression" dxfId="357" priority="183">
      <formula>COUNTIF(B5,"4")</formula>
    </cfRule>
    <cfRule type="expression" dxfId="356" priority="184">
      <formula>COUNTIF(B5,"1")</formula>
    </cfRule>
  </conditionalFormatting>
  <conditionalFormatting sqref="B5:B36">
    <cfRule type="cellIs" dxfId="355" priority="160" operator="equal">
      <formula>"a"</formula>
    </cfRule>
    <cfRule type="cellIs" dxfId="354" priority="162" operator="equal">
      <formula>"k"</formula>
    </cfRule>
    <cfRule type="cellIs" dxfId="353" priority="165" operator="equal">
      <formula>"u"</formula>
    </cfRule>
    <cfRule type="cellIs" dxfId="352" priority="166" operator="equal">
      <formula>"f"</formula>
    </cfRule>
    <cfRule type="cellIs" dxfId="351" priority="171" operator="equal">
      <formula>9</formula>
    </cfRule>
    <cfRule type="cellIs" dxfId="350" priority="172" operator="equal">
      <formula>8</formula>
    </cfRule>
    <cfRule type="cellIs" dxfId="349" priority="173" operator="equal">
      <formula>5</formula>
    </cfRule>
    <cfRule type="cellIs" dxfId="348" priority="174" operator="equal">
      <formula>3</formula>
    </cfRule>
    <cfRule type="cellIs" dxfId="347" priority="176" operator="equal">
      <formula>6</formula>
    </cfRule>
    <cfRule type="cellIs" dxfId="346" priority="177" operator="equal">
      <formula>4</formula>
    </cfRule>
    <cfRule type="cellIs" dxfId="345" priority="178" operator="equal">
      <formula>2</formula>
    </cfRule>
    <cfRule type="cellIs" dxfId="344" priority="179" operator="equal">
      <formula>7</formula>
    </cfRule>
    <cfRule type="cellIs" dxfId="343" priority="180" operator="equal">
      <formula>1</formula>
    </cfRule>
  </conditionalFormatting>
  <conditionalFormatting sqref="C5:C36">
    <cfRule type="expression" dxfId="342" priority="175">
      <formula>COUNTIF(B5,"6")</formula>
    </cfRule>
  </conditionalFormatting>
  <conditionalFormatting sqref="E5:E36">
    <cfRule type="cellIs" dxfId="341" priority="146" operator="equal">
      <formula>"a"</formula>
    </cfRule>
    <cfRule type="cellIs" dxfId="340" priority="147" operator="equal">
      <formula>"k"</formula>
    </cfRule>
    <cfRule type="cellIs" dxfId="339" priority="148" operator="equal">
      <formula>"u"</formula>
    </cfRule>
    <cfRule type="cellIs" dxfId="338" priority="149" operator="equal">
      <formula>"f"</formula>
    </cfRule>
    <cfRule type="cellIs" dxfId="337" priority="150" operator="equal">
      <formula>9</formula>
    </cfRule>
    <cfRule type="cellIs" dxfId="336" priority="151" operator="equal">
      <formula>8</formula>
    </cfRule>
    <cfRule type="cellIs" dxfId="335" priority="152" operator="equal">
      <formula>5</formula>
    </cfRule>
    <cfRule type="cellIs" dxfId="334" priority="153" operator="equal">
      <formula>3</formula>
    </cfRule>
    <cfRule type="cellIs" dxfId="333" priority="154" operator="equal">
      <formula>6</formula>
    </cfRule>
    <cfRule type="cellIs" dxfId="332" priority="155" operator="equal">
      <formula>4</formula>
    </cfRule>
    <cfRule type="cellIs" dxfId="331" priority="156" operator="equal">
      <formula>2</formula>
    </cfRule>
    <cfRule type="cellIs" dxfId="330" priority="157" operator="equal">
      <formula>7</formula>
    </cfRule>
    <cfRule type="cellIs" dxfId="329" priority="158" operator="equal">
      <formula>1</formula>
    </cfRule>
  </conditionalFormatting>
  <conditionalFormatting sqref="H5:H36">
    <cfRule type="cellIs" dxfId="328" priority="133" operator="equal">
      <formula>"a"</formula>
    </cfRule>
    <cfRule type="cellIs" dxfId="327" priority="134" operator="equal">
      <formula>"k"</formula>
    </cfRule>
    <cfRule type="cellIs" dxfId="326" priority="135" operator="equal">
      <formula>"u"</formula>
    </cfRule>
    <cfRule type="cellIs" dxfId="325" priority="136" operator="equal">
      <formula>"f"</formula>
    </cfRule>
    <cfRule type="cellIs" dxfId="324" priority="137" operator="equal">
      <formula>9</formula>
    </cfRule>
    <cfRule type="cellIs" dxfId="323" priority="138" operator="equal">
      <formula>8</formula>
    </cfRule>
    <cfRule type="cellIs" dxfId="322" priority="139" operator="equal">
      <formula>5</formula>
    </cfRule>
    <cfRule type="cellIs" dxfId="321" priority="140" operator="equal">
      <formula>3</formula>
    </cfRule>
    <cfRule type="cellIs" dxfId="320" priority="141" operator="equal">
      <formula>6</formula>
    </cfRule>
    <cfRule type="cellIs" dxfId="319" priority="142" operator="equal">
      <formula>4</formula>
    </cfRule>
    <cfRule type="cellIs" dxfId="318" priority="143" operator="equal">
      <formula>2</formula>
    </cfRule>
    <cfRule type="cellIs" dxfId="317" priority="144" operator="equal">
      <formula>7</formula>
    </cfRule>
    <cfRule type="cellIs" dxfId="316" priority="145" operator="equal">
      <formula>1</formula>
    </cfRule>
  </conditionalFormatting>
  <conditionalFormatting sqref="K5:K36">
    <cfRule type="cellIs" dxfId="315" priority="120" operator="equal">
      <formula>"a"</formula>
    </cfRule>
    <cfRule type="cellIs" dxfId="314" priority="121" operator="equal">
      <formula>"k"</formula>
    </cfRule>
    <cfRule type="cellIs" dxfId="313" priority="122" operator="equal">
      <formula>"u"</formula>
    </cfRule>
    <cfRule type="cellIs" dxfId="312" priority="123" operator="equal">
      <formula>"f"</formula>
    </cfRule>
    <cfRule type="cellIs" dxfId="311" priority="124" operator="equal">
      <formula>9</formula>
    </cfRule>
    <cfRule type="cellIs" dxfId="310" priority="125" operator="equal">
      <formula>8</formula>
    </cfRule>
    <cfRule type="cellIs" dxfId="309" priority="126" operator="equal">
      <formula>5</formula>
    </cfRule>
    <cfRule type="cellIs" dxfId="308" priority="127" operator="equal">
      <formula>3</formula>
    </cfRule>
    <cfRule type="cellIs" dxfId="307" priority="128" operator="equal">
      <formula>6</formula>
    </cfRule>
    <cfRule type="cellIs" dxfId="306" priority="129" operator="equal">
      <formula>4</formula>
    </cfRule>
    <cfRule type="cellIs" dxfId="305" priority="130" operator="equal">
      <formula>2</formula>
    </cfRule>
    <cfRule type="cellIs" dxfId="304" priority="131" operator="equal">
      <formula>7</formula>
    </cfRule>
    <cfRule type="cellIs" dxfId="303" priority="132" operator="equal">
      <formula>1</formula>
    </cfRule>
  </conditionalFormatting>
  <conditionalFormatting sqref="N5:N36">
    <cfRule type="cellIs" dxfId="302" priority="107" operator="equal">
      <formula>"a"</formula>
    </cfRule>
    <cfRule type="cellIs" dxfId="301" priority="108" operator="equal">
      <formula>"k"</formula>
    </cfRule>
    <cfRule type="cellIs" dxfId="300" priority="109" operator="equal">
      <formula>"u"</formula>
    </cfRule>
    <cfRule type="cellIs" dxfId="299" priority="110" operator="equal">
      <formula>"f"</formula>
    </cfRule>
    <cfRule type="cellIs" dxfId="298" priority="111" operator="equal">
      <formula>9</formula>
    </cfRule>
    <cfRule type="cellIs" dxfId="297" priority="112" operator="equal">
      <formula>8</formula>
    </cfRule>
    <cfRule type="cellIs" dxfId="296" priority="113" operator="equal">
      <formula>5</formula>
    </cfRule>
    <cfRule type="cellIs" dxfId="295" priority="114" operator="equal">
      <formula>3</formula>
    </cfRule>
    <cfRule type="cellIs" dxfId="294" priority="115" operator="equal">
      <formula>6</formula>
    </cfRule>
    <cfRule type="cellIs" dxfId="293" priority="116" operator="equal">
      <formula>4</formula>
    </cfRule>
    <cfRule type="cellIs" dxfId="292" priority="117" operator="equal">
      <formula>2</formula>
    </cfRule>
    <cfRule type="cellIs" dxfId="291" priority="118" operator="equal">
      <formula>7</formula>
    </cfRule>
    <cfRule type="cellIs" dxfId="290" priority="119" operator="equal">
      <formula>1</formula>
    </cfRule>
  </conditionalFormatting>
  <conditionalFormatting sqref="Q5:Q36">
    <cfRule type="cellIs" dxfId="289" priority="94" operator="equal">
      <formula>"a"</formula>
    </cfRule>
    <cfRule type="cellIs" dxfId="288" priority="95" operator="equal">
      <formula>"k"</formula>
    </cfRule>
    <cfRule type="cellIs" dxfId="287" priority="96" operator="equal">
      <formula>"u"</formula>
    </cfRule>
    <cfRule type="cellIs" dxfId="286" priority="97" operator="equal">
      <formula>"f"</formula>
    </cfRule>
    <cfRule type="cellIs" dxfId="285" priority="98" operator="equal">
      <formula>9</formula>
    </cfRule>
    <cfRule type="cellIs" dxfId="284" priority="99" operator="equal">
      <formula>8</formula>
    </cfRule>
    <cfRule type="cellIs" dxfId="283" priority="100" operator="equal">
      <formula>5</formula>
    </cfRule>
    <cfRule type="cellIs" dxfId="282" priority="101" operator="equal">
      <formula>3</formula>
    </cfRule>
    <cfRule type="cellIs" dxfId="281" priority="102" operator="equal">
      <formula>6</formula>
    </cfRule>
    <cfRule type="cellIs" dxfId="280" priority="103" operator="equal">
      <formula>4</formula>
    </cfRule>
    <cfRule type="cellIs" dxfId="279" priority="104" operator="equal">
      <formula>2</formula>
    </cfRule>
    <cfRule type="cellIs" dxfId="278" priority="105" operator="equal">
      <formula>7</formula>
    </cfRule>
    <cfRule type="cellIs" dxfId="277" priority="106" operator="equal">
      <formula>1</formula>
    </cfRule>
  </conditionalFormatting>
  <conditionalFormatting sqref="T5:T36">
    <cfRule type="cellIs" dxfId="276" priority="81" operator="equal">
      <formula>"a"</formula>
    </cfRule>
    <cfRule type="cellIs" dxfId="275" priority="82" operator="equal">
      <formula>"k"</formula>
    </cfRule>
    <cfRule type="cellIs" dxfId="274" priority="83" operator="equal">
      <formula>"u"</formula>
    </cfRule>
    <cfRule type="cellIs" dxfId="273" priority="84" operator="equal">
      <formula>"f"</formula>
    </cfRule>
    <cfRule type="cellIs" dxfId="272" priority="85" operator="equal">
      <formula>9</formula>
    </cfRule>
    <cfRule type="cellIs" dxfId="271" priority="86" operator="equal">
      <formula>8</formula>
    </cfRule>
    <cfRule type="cellIs" dxfId="270" priority="87" operator="equal">
      <formula>5</formula>
    </cfRule>
    <cfRule type="cellIs" dxfId="269" priority="88" operator="equal">
      <formula>3</formula>
    </cfRule>
    <cfRule type="cellIs" dxfId="268" priority="89" operator="equal">
      <formula>6</formula>
    </cfRule>
    <cfRule type="cellIs" dxfId="267" priority="90" operator="equal">
      <formula>4</formula>
    </cfRule>
    <cfRule type="cellIs" dxfId="266" priority="91" operator="equal">
      <formula>2</formula>
    </cfRule>
    <cfRule type="cellIs" dxfId="265" priority="92" operator="equal">
      <formula>7</formula>
    </cfRule>
    <cfRule type="cellIs" dxfId="264" priority="93" operator="equal">
      <formula>1</formula>
    </cfRule>
  </conditionalFormatting>
  <conditionalFormatting sqref="F5:F36">
    <cfRule type="expression" dxfId="263" priority="68">
      <formula>COUNTIF(E5,"a")</formula>
    </cfRule>
    <cfRule type="expression" dxfId="262" priority="69">
      <formula>COUNTIF(E5,"9")</formula>
    </cfRule>
    <cfRule type="expression" dxfId="261" priority="70">
      <formula>COUNTIF(E5,"k")</formula>
    </cfRule>
    <cfRule type="expression" dxfId="260" priority="71">
      <formula>COUNTIF(E5,"u")</formula>
    </cfRule>
    <cfRule type="expression" dxfId="259" priority="72">
      <formula>COUNTIF(E5,"f")</formula>
    </cfRule>
    <cfRule type="expression" dxfId="258" priority="73">
      <formula>COUNTIF(E5,"8")</formula>
    </cfRule>
    <cfRule type="expression" dxfId="257" priority="74">
      <formula>COUNTIF(E5,"7")</formula>
    </cfRule>
    <cfRule type="expression" dxfId="256" priority="75">
      <formula>COUNTIF(E5,"3")</formula>
    </cfRule>
    <cfRule type="expression" dxfId="255" priority="77">
      <formula>COUNTIF(E5,"5")</formula>
    </cfRule>
    <cfRule type="expression" dxfId="254" priority="78">
      <formula>COUNTIF(E5,"2")</formula>
    </cfRule>
    <cfRule type="expression" dxfId="253" priority="79">
      <formula>COUNTIF(E5,"4")</formula>
    </cfRule>
    <cfRule type="expression" dxfId="252" priority="80">
      <formula>COUNTIF(E5,"1")</formula>
    </cfRule>
  </conditionalFormatting>
  <conditionalFormatting sqref="F5:F36">
    <cfRule type="expression" dxfId="251" priority="76">
      <formula>COUNTIF(E5,"6")</formula>
    </cfRule>
  </conditionalFormatting>
  <conditionalFormatting sqref="I5:I36">
    <cfRule type="expression" dxfId="250" priority="55">
      <formula>COUNTIF(H5,"a")</formula>
    </cfRule>
    <cfRule type="expression" dxfId="249" priority="56">
      <formula>COUNTIF(H5,"9")</formula>
    </cfRule>
    <cfRule type="expression" dxfId="248" priority="57">
      <formula>COUNTIF(H5,"k")</formula>
    </cfRule>
    <cfRule type="expression" dxfId="247" priority="58">
      <formula>COUNTIF(H5,"u")</formula>
    </cfRule>
    <cfRule type="expression" dxfId="246" priority="59">
      <formula>COUNTIF(H5,"f")</formula>
    </cfRule>
    <cfRule type="expression" dxfId="245" priority="60">
      <formula>COUNTIF(H5,"8")</formula>
    </cfRule>
    <cfRule type="expression" dxfId="244" priority="61">
      <formula>COUNTIF(H5,"7")</formula>
    </cfRule>
    <cfRule type="expression" dxfId="243" priority="62">
      <formula>COUNTIF(H5,"3")</formula>
    </cfRule>
    <cfRule type="expression" dxfId="242" priority="64">
      <formula>COUNTIF(H5,"5")</formula>
    </cfRule>
    <cfRule type="expression" dxfId="241" priority="65">
      <formula>COUNTIF(H5,"2")</formula>
    </cfRule>
    <cfRule type="expression" dxfId="240" priority="66">
      <formula>COUNTIF(H5,"4")</formula>
    </cfRule>
    <cfRule type="expression" dxfId="239" priority="67">
      <formula>COUNTIF(H5,"1")</formula>
    </cfRule>
  </conditionalFormatting>
  <conditionalFormatting sqref="I5:I36">
    <cfRule type="expression" dxfId="238" priority="63">
      <formula>COUNTIF(H5,"6")</formula>
    </cfRule>
  </conditionalFormatting>
  <conditionalFormatting sqref="L5:L36">
    <cfRule type="expression" dxfId="237" priority="42">
      <formula>COUNTIF(K5,"a")</formula>
    </cfRule>
    <cfRule type="expression" dxfId="236" priority="43">
      <formula>COUNTIF(K5,"9")</formula>
    </cfRule>
    <cfRule type="expression" dxfId="235" priority="44">
      <formula>COUNTIF(K5,"k")</formula>
    </cfRule>
    <cfRule type="expression" dxfId="234" priority="45">
      <formula>COUNTIF(K5,"u")</formula>
    </cfRule>
    <cfRule type="expression" dxfId="233" priority="46">
      <formula>COUNTIF(K5,"f")</formula>
    </cfRule>
    <cfRule type="expression" dxfId="232" priority="47">
      <formula>COUNTIF(K5,"8")</formula>
    </cfRule>
    <cfRule type="expression" dxfId="231" priority="48">
      <formula>COUNTIF(K5,"7")</formula>
    </cfRule>
    <cfRule type="expression" dxfId="230" priority="49">
      <formula>COUNTIF(K5,"3")</formula>
    </cfRule>
    <cfRule type="expression" dxfId="229" priority="51">
      <formula>COUNTIF(K5,"5")</formula>
    </cfRule>
    <cfRule type="expression" dxfId="228" priority="52">
      <formula>COUNTIF(K5,"2")</formula>
    </cfRule>
    <cfRule type="expression" dxfId="227" priority="53">
      <formula>COUNTIF(K5,"4")</formula>
    </cfRule>
    <cfRule type="expression" dxfId="226" priority="54">
      <formula>COUNTIF(K5,"1")</formula>
    </cfRule>
  </conditionalFormatting>
  <conditionalFormatting sqref="L5:L36">
    <cfRule type="expression" dxfId="225" priority="50">
      <formula>COUNTIF(K5,"6")</formula>
    </cfRule>
  </conditionalFormatting>
  <conditionalFormatting sqref="O5:O36">
    <cfRule type="expression" dxfId="224" priority="29">
      <formula>COUNTIF(N5,"a")</formula>
    </cfRule>
    <cfRule type="expression" dxfId="223" priority="30">
      <formula>COUNTIF(N5,"9")</formula>
    </cfRule>
    <cfRule type="expression" dxfId="222" priority="31">
      <formula>COUNTIF(N5,"k")</formula>
    </cfRule>
    <cfRule type="expression" dxfId="221" priority="32">
      <formula>COUNTIF(N5,"u")</formula>
    </cfRule>
    <cfRule type="expression" dxfId="220" priority="33">
      <formula>COUNTIF(N5,"f")</formula>
    </cfRule>
    <cfRule type="expression" dxfId="219" priority="34">
      <formula>COUNTIF(N5,"8")</formula>
    </cfRule>
    <cfRule type="expression" dxfId="218" priority="35">
      <formula>COUNTIF(N5,"7")</formula>
    </cfRule>
    <cfRule type="expression" dxfId="217" priority="36">
      <formula>COUNTIF(N5,"3")</formula>
    </cfRule>
    <cfRule type="expression" dxfId="216" priority="38">
      <formula>COUNTIF(N5,"5")</formula>
    </cfRule>
    <cfRule type="expression" dxfId="215" priority="39">
      <formula>COUNTIF(N5,"2")</formula>
    </cfRule>
    <cfRule type="expression" dxfId="214" priority="40">
      <formula>COUNTIF(N5,"4")</formula>
    </cfRule>
    <cfRule type="expression" dxfId="213" priority="41">
      <formula>COUNTIF(N5,"1")</formula>
    </cfRule>
  </conditionalFormatting>
  <conditionalFormatting sqref="O5:O36">
    <cfRule type="expression" dxfId="212" priority="37">
      <formula>COUNTIF(N5,"6")</formula>
    </cfRule>
  </conditionalFormatting>
  <conditionalFormatting sqref="R5:R36">
    <cfRule type="expression" dxfId="211" priority="16">
      <formula>COUNTIF(Q5,"a")</formula>
    </cfRule>
    <cfRule type="expression" dxfId="210" priority="17">
      <formula>COUNTIF(Q5,"9")</formula>
    </cfRule>
    <cfRule type="expression" dxfId="209" priority="18">
      <formula>COUNTIF(Q5,"k")</formula>
    </cfRule>
    <cfRule type="expression" dxfId="208" priority="19">
      <formula>COUNTIF(Q5,"u")</formula>
    </cfRule>
    <cfRule type="expression" dxfId="207" priority="20">
      <formula>COUNTIF(Q5,"f")</formula>
    </cfRule>
    <cfRule type="expression" dxfId="206" priority="21">
      <formula>COUNTIF(Q5,"8")</formula>
    </cfRule>
    <cfRule type="expression" dxfId="205" priority="22">
      <formula>COUNTIF(Q5,"7")</formula>
    </cfRule>
    <cfRule type="expression" dxfId="204" priority="23">
      <formula>COUNTIF(Q5,"3")</formula>
    </cfRule>
    <cfRule type="expression" dxfId="203" priority="25">
      <formula>COUNTIF(Q5,"5")</formula>
    </cfRule>
    <cfRule type="expression" dxfId="202" priority="26">
      <formula>COUNTIF(Q5,"2")</formula>
    </cfRule>
    <cfRule type="expression" dxfId="201" priority="27">
      <formula>COUNTIF(Q5,"4")</formula>
    </cfRule>
    <cfRule type="expression" dxfId="200" priority="28">
      <formula>COUNTIF(Q5,"1")</formula>
    </cfRule>
  </conditionalFormatting>
  <conditionalFormatting sqref="R5:R36">
    <cfRule type="expression" dxfId="199" priority="24">
      <formula>COUNTIF(Q5,"6")</formula>
    </cfRule>
  </conditionalFormatting>
  <conditionalFormatting sqref="U5:U36">
    <cfRule type="expression" dxfId="198" priority="3">
      <formula>COUNTIF(T5,"a")</formula>
    </cfRule>
    <cfRule type="expression" dxfId="197" priority="4">
      <formula>COUNTIF(T5,"9")</formula>
    </cfRule>
    <cfRule type="expression" dxfId="196" priority="5">
      <formula>COUNTIF(T5,"k")</formula>
    </cfRule>
    <cfRule type="expression" dxfId="195" priority="6">
      <formula>COUNTIF(T5,"u")</formula>
    </cfRule>
    <cfRule type="expression" dxfId="194" priority="7">
      <formula>COUNTIF(T5,"f")</formula>
    </cfRule>
    <cfRule type="expression" dxfId="193" priority="8">
      <formula>COUNTIF(T5,"8")</formula>
    </cfRule>
    <cfRule type="expression" dxfId="192" priority="9">
      <formula>COUNTIF(T5,"7")</formula>
    </cfRule>
    <cfRule type="expression" dxfId="191" priority="10">
      <formula>COUNTIF(T5,"3")</formula>
    </cfRule>
    <cfRule type="expression" dxfId="190" priority="12">
      <formula>COUNTIF(T5,"5")</formula>
    </cfRule>
    <cfRule type="expression" dxfId="189" priority="13">
      <formula>COUNTIF(T5,"2")</formula>
    </cfRule>
    <cfRule type="expression" dxfId="188" priority="14">
      <formula>COUNTIF(T5,"4")</formula>
    </cfRule>
    <cfRule type="expression" dxfId="187" priority="15">
      <formula>COUNTIF(T5,"1")</formula>
    </cfRule>
  </conditionalFormatting>
  <conditionalFormatting sqref="U5:U36">
    <cfRule type="expression" dxfId="186" priority="11">
      <formula>COUNTIF(T5,"6")</formula>
    </cfRule>
  </conditionalFormatting>
  <conditionalFormatting sqref="V32">
    <cfRule type="cellIs" dxfId="185" priority="1" operator="lessThan">
      <formula>0</formula>
    </cfRule>
    <cfRule type="cellIs" dxfId="184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4995B1B7-1C41-F940-91F9-8A7945B10CFB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F486-BF9E-EE4B-9790-6F8C83487CCB}">
  <sheetPr codeName="Tabelle98">
    <pageSetUpPr fitToPage="1"/>
  </sheetPr>
  <dimension ref="A1:AP40"/>
  <sheetViews>
    <sheetView topLeftCell="G1" workbookViewId="0">
      <selection activeCell="E31" sqref="E31"/>
    </sheetView>
  </sheetViews>
  <sheetFormatPr baseColWidth="10" defaultColWidth="11.5" defaultRowHeight="14"/>
  <cols>
    <col min="1" max="1" width="5.6640625" style="1" customWidth="1"/>
    <col min="2" max="2" width="3.33203125" style="1" customWidth="1"/>
    <col min="3" max="3" width="15.6640625" style="1" customWidth="1"/>
    <col min="4" max="4" width="5.6640625" style="1" customWidth="1"/>
    <col min="5" max="5" width="3.33203125" style="1" customWidth="1"/>
    <col min="6" max="6" width="15.6640625" style="1" customWidth="1"/>
    <col min="7" max="7" width="5.6640625" style="1" customWidth="1"/>
    <col min="8" max="8" width="3.33203125" style="1" customWidth="1"/>
    <col min="9" max="9" width="15.6640625" style="1" customWidth="1"/>
    <col min="10" max="10" width="5.6640625" style="1" customWidth="1"/>
    <col min="11" max="11" width="3.33203125" style="1" customWidth="1"/>
    <col min="12" max="12" width="15.6640625" style="1" customWidth="1"/>
    <col min="13" max="13" width="5.6640625" style="1" customWidth="1"/>
    <col min="14" max="14" width="3.33203125" style="1" customWidth="1"/>
    <col min="15" max="15" width="15.6640625" style="1" customWidth="1"/>
    <col min="16" max="16" width="5.6640625" style="1" customWidth="1"/>
    <col min="17" max="17" width="3.33203125" style="1" customWidth="1"/>
    <col min="18" max="18" width="15.6640625" style="1" customWidth="1"/>
    <col min="19" max="19" width="5.6640625" style="1" customWidth="1"/>
    <col min="20" max="20" width="3.33203125" style="1" customWidth="1"/>
    <col min="21" max="22" width="15.6640625" style="1" customWidth="1"/>
    <col min="23" max="23" width="6.33203125" style="1" customWidth="1"/>
    <col min="24" max="24" width="3.83203125" style="1" customWidth="1"/>
    <col min="25" max="25" width="22.6640625" style="1" customWidth="1"/>
    <col min="26" max="26" width="10.33203125" style="1" customWidth="1"/>
    <col min="27" max="27" width="5.1640625" style="1" customWidth="1"/>
    <col min="28" max="33" width="11.5" style="1"/>
    <col min="34" max="34" width="4.33203125" style="1" customWidth="1"/>
    <col min="35" max="37" width="3.33203125" style="1" customWidth="1"/>
    <col min="38" max="41" width="3.1640625" style="1" customWidth="1"/>
    <col min="42" max="42" width="3.5" style="1" customWidth="1"/>
    <col min="43" max="43" width="3.1640625" style="1" customWidth="1"/>
    <col min="44" max="16384" width="11.5" style="1"/>
  </cols>
  <sheetData>
    <row r="1" spans="1:42" ht="55.5" customHeight="1" thickTop="1" thickBot="1">
      <c r="A1" s="73"/>
      <c r="B1" s="74" t="s">
        <v>0</v>
      </c>
      <c r="C1" s="75"/>
      <c r="D1" s="76"/>
      <c r="E1" s="175" t="str">
        <f>Übersicht!P34</f>
        <v>Thomas Gollenia</v>
      </c>
      <c r="F1" s="175"/>
      <c r="G1" s="175"/>
      <c r="H1" s="77"/>
      <c r="I1" s="77"/>
      <c r="J1" s="74"/>
      <c r="K1" s="74"/>
      <c r="L1" s="175"/>
      <c r="M1" s="175"/>
      <c r="N1" s="175"/>
      <c r="O1" s="78"/>
      <c r="P1" s="176">
        <v>53</v>
      </c>
      <c r="Q1" s="176"/>
      <c r="R1" s="79">
        <f>DATE(V1,1,7*P1-3-WEEKDAY(DATE(V1,,),3))</f>
        <v>45656</v>
      </c>
      <c r="S1" s="80" t="s">
        <v>1</v>
      </c>
      <c r="T1" s="177">
        <f>DATE(V1,1,7*P1+3-WEEKDAY(DATE(V1,,),3))</f>
        <v>45662</v>
      </c>
      <c r="U1" s="177"/>
      <c r="V1" s="81">
        <f>Übersicht!P29</f>
        <v>2024</v>
      </c>
      <c r="W1" s="56"/>
      <c r="X1" s="56"/>
      <c r="Y1" s="56"/>
      <c r="Z1" s="56"/>
      <c r="AA1" s="56"/>
    </row>
    <row r="2" spans="1:42" ht="29.25" customHeight="1" thickTop="1">
      <c r="A2" s="178">
        <f>R1</f>
        <v>45656</v>
      </c>
      <c r="B2" s="178"/>
      <c r="C2" s="178"/>
      <c r="D2" s="178">
        <f>A2+1</f>
        <v>45657</v>
      </c>
      <c r="E2" s="179"/>
      <c r="F2" s="179"/>
      <c r="G2" s="178">
        <f>D2+1</f>
        <v>45658</v>
      </c>
      <c r="H2" s="179"/>
      <c r="I2" s="179"/>
      <c r="J2" s="178">
        <f>G2+1</f>
        <v>45659</v>
      </c>
      <c r="K2" s="179"/>
      <c r="L2" s="179"/>
      <c r="M2" s="178">
        <f>J2+1</f>
        <v>45660</v>
      </c>
      <c r="N2" s="179"/>
      <c r="O2" s="179"/>
      <c r="P2" s="178">
        <f>M2+1</f>
        <v>45661</v>
      </c>
      <c r="Q2" s="179"/>
      <c r="R2" s="179"/>
      <c r="S2" s="178">
        <f>P2+1</f>
        <v>45662</v>
      </c>
      <c r="T2" s="179"/>
      <c r="U2" s="179"/>
      <c r="V2" s="82"/>
      <c r="W2" s="56"/>
      <c r="X2" s="58"/>
      <c r="Y2" s="56"/>
      <c r="Z2" s="56"/>
      <c r="AA2" s="56"/>
    </row>
    <row r="3" spans="1:42" ht="23.25" customHeight="1">
      <c r="A3" s="168">
        <f>R1</f>
        <v>45656</v>
      </c>
      <c r="B3" s="168"/>
      <c r="C3" s="168"/>
      <c r="D3" s="168">
        <f>A3+1</f>
        <v>45657</v>
      </c>
      <c r="E3" s="168"/>
      <c r="F3" s="168"/>
      <c r="G3" s="168">
        <f>D3+1</f>
        <v>45658</v>
      </c>
      <c r="H3" s="168"/>
      <c r="I3" s="168"/>
      <c r="J3" s="168">
        <f>G3+1</f>
        <v>45659</v>
      </c>
      <c r="K3" s="168"/>
      <c r="L3" s="168"/>
      <c r="M3" s="168">
        <f>J3+1</f>
        <v>45660</v>
      </c>
      <c r="N3" s="168"/>
      <c r="O3" s="168"/>
      <c r="P3" s="168">
        <f>M3+1</f>
        <v>45661</v>
      </c>
      <c r="Q3" s="168"/>
      <c r="R3" s="168"/>
      <c r="S3" s="168">
        <f>P3+1</f>
        <v>45662</v>
      </c>
      <c r="T3" s="168"/>
      <c r="U3" s="168"/>
      <c r="V3" s="83" t="s">
        <v>2</v>
      </c>
      <c r="W3" s="56"/>
      <c r="X3" s="59" t="s">
        <v>67</v>
      </c>
      <c r="Y3" s="60"/>
      <c r="Z3" s="60"/>
      <c r="AA3" s="56"/>
    </row>
    <row r="4" spans="1:42" ht="24.75" customHeight="1">
      <c r="A4" s="84" t="s">
        <v>3</v>
      </c>
      <c r="B4" s="84"/>
      <c r="C4" s="85" t="s">
        <v>4</v>
      </c>
      <c r="D4" s="84" t="s">
        <v>3</v>
      </c>
      <c r="E4" s="84"/>
      <c r="F4" s="85" t="s">
        <v>4</v>
      </c>
      <c r="G4" s="84" t="s">
        <v>3</v>
      </c>
      <c r="H4" s="84"/>
      <c r="I4" s="85" t="s">
        <v>4</v>
      </c>
      <c r="J4" s="84" t="s">
        <v>3</v>
      </c>
      <c r="K4" s="84"/>
      <c r="L4" s="85" t="s">
        <v>4</v>
      </c>
      <c r="M4" s="84" t="s">
        <v>3</v>
      </c>
      <c r="N4" s="84"/>
      <c r="O4" s="85" t="s">
        <v>4</v>
      </c>
      <c r="P4" s="84" t="s">
        <v>3</v>
      </c>
      <c r="Q4" s="84"/>
      <c r="R4" s="85" t="s">
        <v>4</v>
      </c>
      <c r="S4" s="84" t="s">
        <v>3</v>
      </c>
      <c r="T4" s="84"/>
      <c r="U4" s="86" t="s">
        <v>4</v>
      </c>
      <c r="V4" s="87"/>
      <c r="W4" s="56"/>
      <c r="X4" s="89" t="s">
        <v>70</v>
      </c>
      <c r="Y4" s="89" t="s">
        <v>71</v>
      </c>
      <c r="Z4" s="89"/>
      <c r="AA4" s="56"/>
    </row>
    <row r="5" spans="1:42" ht="15" customHeight="1">
      <c r="A5" s="72">
        <v>0.25</v>
      </c>
      <c r="B5" s="108"/>
      <c r="C5" s="5"/>
      <c r="D5" s="72">
        <v>0.25</v>
      </c>
      <c r="E5" s="108"/>
      <c r="F5" s="5"/>
      <c r="G5" s="72">
        <v>0.25</v>
      </c>
      <c r="H5" s="108"/>
      <c r="I5" s="5"/>
      <c r="J5" s="72">
        <v>0.25</v>
      </c>
      <c r="K5" s="108"/>
      <c r="L5" s="5"/>
      <c r="M5" s="72">
        <v>0.25</v>
      </c>
      <c r="N5" s="108"/>
      <c r="O5" s="5"/>
      <c r="P5" s="72">
        <v>0.25</v>
      </c>
      <c r="Q5" s="108"/>
      <c r="R5" s="5"/>
      <c r="S5" s="72">
        <v>0.25</v>
      </c>
      <c r="T5" s="108"/>
      <c r="U5" s="5"/>
      <c r="V5" s="57"/>
      <c r="W5" s="56"/>
      <c r="X5" s="19">
        <v>1</v>
      </c>
      <c r="Y5" s="14" t="str">
        <f>Übersicht!Q10</f>
        <v>Kategorie A</v>
      </c>
      <c r="Z5" s="9">
        <f>COUNTIF(B5:B36,"1")*0.5+COUNTIF(E5:E36,"1")*0.5+COUNTIF(H5:H36,"1")*0.5+COUNTIF(K5:K36,"1")*0.5+COUNTIF(N5:N36,"1")*0.5+COUNTIF(Q5:Q36,"1")*0.5+COUNTIF(T5:T36,"1")*0.5</f>
        <v>0</v>
      </c>
      <c r="AA5" s="56"/>
    </row>
    <row r="6" spans="1:42" ht="15" customHeight="1">
      <c r="A6" s="72">
        <v>0.27083333333333331</v>
      </c>
      <c r="B6" s="108"/>
      <c r="C6" s="5"/>
      <c r="D6" s="72">
        <v>0.27083333333333331</v>
      </c>
      <c r="E6" s="108"/>
      <c r="F6" s="5"/>
      <c r="G6" s="72">
        <v>0.27083333333333331</v>
      </c>
      <c r="H6" s="108"/>
      <c r="I6" s="5"/>
      <c r="J6" s="72">
        <v>0.27083333333333331</v>
      </c>
      <c r="K6" s="108"/>
      <c r="L6" s="5"/>
      <c r="M6" s="72">
        <v>0.27083333333333331</v>
      </c>
      <c r="N6" s="108"/>
      <c r="O6" s="5"/>
      <c r="P6" s="72">
        <v>0.27083333333333331</v>
      </c>
      <c r="Q6" s="108"/>
      <c r="R6" s="5"/>
      <c r="S6" s="72">
        <v>0.27083333333333331</v>
      </c>
      <c r="T6" s="108"/>
      <c r="U6" s="5"/>
      <c r="V6" s="57"/>
      <c r="W6" s="56"/>
      <c r="X6" s="20">
        <v>2</v>
      </c>
      <c r="Y6" s="10" t="str">
        <f>Übersicht!Q12</f>
        <v>Kategorie B</v>
      </c>
      <c r="Z6" s="11">
        <f>COUNTIF(B5:B36,"2")*0.5+COUNTIF(E5:E36,"2")*0.5+COUNTIF(H5:H36,"2")*0.5+COUNTIF(K5:K36,"2")*0.5+COUNTIF(N5:N36,"2")*0.5+COUNTIF(Q5:Q36,"2")*0.5+COUNTIF(T5:T36,"2")*0.5</f>
        <v>0</v>
      </c>
      <c r="AA6" s="56"/>
      <c r="AG6" s="54">
        <f>A3</f>
        <v>45656</v>
      </c>
      <c r="AH6" s="1">
        <f>COUNTIF(B5:B36,"1")*0.5</f>
        <v>0</v>
      </c>
      <c r="AI6" s="1">
        <f>COUNTIF(B5:B36,"2")*0.5</f>
        <v>0</v>
      </c>
      <c r="AJ6" s="1">
        <f>COUNTIF(B5:B36,"3")*0.5</f>
        <v>0</v>
      </c>
      <c r="AK6" s="1">
        <f>COUNTIF(B5:B36,"4")*0.5</f>
        <v>0</v>
      </c>
      <c r="AL6" s="1">
        <f>COUNTIF(B5:B36,"5")*0.5</f>
        <v>0</v>
      </c>
      <c r="AM6" s="1">
        <f>COUNTIF(B5:B36,"6")*0.5</f>
        <v>0</v>
      </c>
      <c r="AN6" s="1">
        <f>COUNTIF(B5:B36,"7")*0.5</f>
        <v>0</v>
      </c>
      <c r="AO6" s="1">
        <f>COUNTIF(B5:B36,"8")*0.5</f>
        <v>0</v>
      </c>
      <c r="AP6" s="1">
        <f>COUNTIF(B5:B36,"9")*0.5</f>
        <v>0</v>
      </c>
    </row>
    <row r="7" spans="1:42" ht="15" customHeight="1">
      <c r="A7" s="72">
        <v>0.29166666666666702</v>
      </c>
      <c r="B7" s="108"/>
      <c r="C7" s="5"/>
      <c r="D7" s="72">
        <v>0.29166666666666702</v>
      </c>
      <c r="E7" s="108"/>
      <c r="F7" s="5"/>
      <c r="G7" s="72">
        <v>0.29166666666666702</v>
      </c>
      <c r="H7" s="108"/>
      <c r="I7" s="5"/>
      <c r="J7" s="72">
        <v>0.29166666666666702</v>
      </c>
      <c r="K7" s="108"/>
      <c r="L7" s="5"/>
      <c r="M7" s="72">
        <v>0.29166666666666702</v>
      </c>
      <c r="N7" s="108"/>
      <c r="O7" s="5"/>
      <c r="P7" s="72">
        <v>0.29166666666666702</v>
      </c>
      <c r="Q7" s="108"/>
      <c r="R7" s="5"/>
      <c r="S7" s="72">
        <v>0.29166666666666702</v>
      </c>
      <c r="T7" s="108"/>
      <c r="U7" s="5"/>
      <c r="V7" s="57"/>
      <c r="W7" s="56"/>
      <c r="X7" s="21">
        <v>3</v>
      </c>
      <c r="Y7" s="12" t="str">
        <f>Übersicht!Q14</f>
        <v>Kategorie C</v>
      </c>
      <c r="Z7" s="13">
        <f>COUNTIF(B5:B36,"3")*0.5+COUNTIF(E5:E36,"3")*0.5+COUNTIF(H5:H36,"3")*0.5+COUNTIF(K5:K36,"3")*0.5+COUNTIF(N5:N36,"3")*0.5+COUNTIF(Q5:Q36,"3")*0.5+COUNTIF(T5:T36,"3")*0.5</f>
        <v>0</v>
      </c>
      <c r="AA7" s="61"/>
      <c r="AB7" s="2"/>
      <c r="AC7" s="2"/>
      <c r="AD7" s="2"/>
      <c r="AG7" s="90">
        <f>D3</f>
        <v>45657</v>
      </c>
      <c r="AH7" s="91">
        <f>COUNTIF(E5:E36,"1")*0.5</f>
        <v>0</v>
      </c>
      <c r="AI7" s="91">
        <f>COUNTIF(E5:E36,"2")*0.5</f>
        <v>0</v>
      </c>
      <c r="AJ7" s="91">
        <f>COUNTIF(E5:E36,"3")*0.5</f>
        <v>0</v>
      </c>
      <c r="AK7" s="91">
        <f>COUNTIF(E5:E36,"4")*0.5</f>
        <v>0</v>
      </c>
      <c r="AL7" s="91">
        <f>COUNTIF(E5:E36,"5")*0.5</f>
        <v>0</v>
      </c>
      <c r="AM7" s="91">
        <f>COUNTIF(E5:E36,"6")*0.5</f>
        <v>0</v>
      </c>
      <c r="AN7" s="91">
        <f>COUNTIF(E5:E36,"7")*0.5</f>
        <v>0</v>
      </c>
      <c r="AO7" s="91">
        <f>COUNTIF(E5:E36,"8")*0.5</f>
        <v>0</v>
      </c>
      <c r="AP7" s="91">
        <f>COUNTIF(E5:E36,"9")*0.5</f>
        <v>0</v>
      </c>
    </row>
    <row r="8" spans="1:42" ht="15" customHeight="1">
      <c r="A8" s="72">
        <v>0.3125</v>
      </c>
      <c r="B8" s="108"/>
      <c r="C8" s="5"/>
      <c r="D8" s="72">
        <v>0.3125</v>
      </c>
      <c r="E8" s="108"/>
      <c r="F8" s="5"/>
      <c r="G8" s="72">
        <v>0.3125</v>
      </c>
      <c r="H8" s="108"/>
      <c r="I8" s="5"/>
      <c r="J8" s="72">
        <v>0.3125</v>
      </c>
      <c r="K8" s="108"/>
      <c r="L8" s="5"/>
      <c r="M8" s="72">
        <v>0.3125</v>
      </c>
      <c r="N8" s="108"/>
      <c r="O8" s="5"/>
      <c r="P8" s="72">
        <v>0.3125</v>
      </c>
      <c r="Q8" s="108"/>
      <c r="R8" s="5"/>
      <c r="S8" s="72">
        <v>0.3125</v>
      </c>
      <c r="T8" s="108"/>
      <c r="U8" s="5"/>
      <c r="V8" s="57"/>
      <c r="W8" s="56"/>
      <c r="X8" s="22">
        <v>4</v>
      </c>
      <c r="Y8" s="7" t="str">
        <f>Übersicht!Q16</f>
        <v>Kategorie D</v>
      </c>
      <c r="Z8" s="8">
        <f>COUNTIF(B5:B36,"4")*0.5+COUNTIF(E5:E36,"4")*0.5+COUNTIF(H5:H36,"4")*0.5+COUNTIF(K5:K36,"4")*0.5+COUNTIF(N5:N36,"4")*0.5+COUNTIF(Q5:Q36,"4")*0.5+COUNTIF(T5:T36,"4")*0.5</f>
        <v>0</v>
      </c>
      <c r="AA8" s="56"/>
      <c r="AG8" s="90">
        <f>G3</f>
        <v>45658</v>
      </c>
      <c r="AH8" s="91">
        <f>COUNTIF(H5:H36,"1")*0.5</f>
        <v>0</v>
      </c>
      <c r="AI8" s="91">
        <f>COUNTIF(H5:H36,"2")*0.5</f>
        <v>0</v>
      </c>
      <c r="AJ8" s="91">
        <f>COUNTIF(H5:H36,"3")*0.5</f>
        <v>0</v>
      </c>
      <c r="AK8" s="91">
        <f>COUNTIF(H5:H36,"4")*0.5</f>
        <v>0</v>
      </c>
      <c r="AL8" s="91">
        <f>COUNTIF(H5:H36,"5")*0.5</f>
        <v>0</v>
      </c>
      <c r="AM8" s="91">
        <f>COUNTIF(H5:H36,"6")*0.5</f>
        <v>0</v>
      </c>
      <c r="AN8" s="91">
        <f>COUNTIF(H5:H36,"7")*0.5</f>
        <v>0</v>
      </c>
      <c r="AO8" s="91">
        <f>COUNTIF(H5:H36,"8")*0.5</f>
        <v>0</v>
      </c>
      <c r="AP8" s="91">
        <f>COUNTIF(H5:H36,"9")*0.5</f>
        <v>0</v>
      </c>
    </row>
    <row r="9" spans="1:42" ht="15" customHeight="1">
      <c r="A9" s="72">
        <v>0.33333333333333298</v>
      </c>
      <c r="B9" s="108"/>
      <c r="C9" s="5"/>
      <c r="D9" s="72">
        <v>0.33333333333333298</v>
      </c>
      <c r="E9" s="108"/>
      <c r="F9" s="5"/>
      <c r="G9" s="72">
        <v>0.33333333333333298</v>
      </c>
      <c r="H9" s="108"/>
      <c r="I9" s="5"/>
      <c r="J9" s="72">
        <v>0.33333333333333298</v>
      </c>
      <c r="K9" s="108"/>
      <c r="L9" s="5"/>
      <c r="M9" s="72">
        <v>0.33333333333333298</v>
      </c>
      <c r="N9" s="108"/>
      <c r="O9" s="5"/>
      <c r="P9" s="72">
        <v>0.33333333333333298</v>
      </c>
      <c r="Q9" s="108"/>
      <c r="R9" s="5"/>
      <c r="S9" s="72">
        <v>0.33333333333333298</v>
      </c>
      <c r="T9" s="108"/>
      <c r="U9" s="5"/>
      <c r="V9" s="65"/>
      <c r="W9" s="56"/>
      <c r="X9" s="23">
        <v>5</v>
      </c>
      <c r="Y9" s="15" t="str">
        <f>Übersicht!Q18</f>
        <v>Kategorie E</v>
      </c>
      <c r="Z9" s="16">
        <f>COUNTIF(B5:B36,"5")*0.5+COUNTIF(E5:E36,"5")*0.5+COUNTIF(H5:H36,"5")*0.5+COUNTIF(K5:K36,"5")*0.5+COUNTIF(N5:N36,"5")*0.5+COUNTIF(Q5:Q36,"5")*0.5+COUNTIF(T5:T36,"5")*0.5</f>
        <v>0</v>
      </c>
      <c r="AA9" s="56"/>
      <c r="AG9" s="54">
        <f>J3</f>
        <v>45659</v>
      </c>
      <c r="AH9" s="91">
        <f>COUNTIF(K5:K36,"1")*0.5</f>
        <v>0</v>
      </c>
      <c r="AI9" s="91">
        <f>COUNTIF(K5:K36,"2")*0.5</f>
        <v>0</v>
      </c>
      <c r="AJ9" s="91">
        <f>COUNTIF(K5:K36,"3")*0.5</f>
        <v>0</v>
      </c>
      <c r="AK9" s="91">
        <f>COUNTIF(K5:K36,"4")*0.5</f>
        <v>0</v>
      </c>
      <c r="AL9" s="91">
        <f>COUNTIF(K5:K36,"5")*0.5</f>
        <v>0</v>
      </c>
      <c r="AM9" s="91">
        <f>COUNTIF(K5:K36,"6")*0.5</f>
        <v>0</v>
      </c>
      <c r="AN9" s="91">
        <f>COUNTIF(K5:K36,"7")*0.5</f>
        <v>0</v>
      </c>
      <c r="AO9" s="91">
        <f>COUNTIF(K5:K36,"8")*0.5</f>
        <v>0</v>
      </c>
      <c r="AP9" s="91">
        <f>COUNTIF(K5:K36,"9")*0.5</f>
        <v>0</v>
      </c>
    </row>
    <row r="10" spans="1:42" ht="15" customHeight="1">
      <c r="A10" s="72">
        <v>0.35416666666666702</v>
      </c>
      <c r="B10" s="108"/>
      <c r="C10" s="5"/>
      <c r="D10" s="72">
        <v>0.35416666666666702</v>
      </c>
      <c r="E10" s="108"/>
      <c r="F10" s="5"/>
      <c r="G10" s="72">
        <v>0.35416666666666702</v>
      </c>
      <c r="H10" s="108"/>
      <c r="I10" s="5"/>
      <c r="J10" s="72">
        <v>0.35416666666666702</v>
      </c>
      <c r="K10" s="108"/>
      <c r="L10" s="5"/>
      <c r="M10" s="72">
        <v>0.35416666666666702</v>
      </c>
      <c r="N10" s="108"/>
      <c r="O10" s="5"/>
      <c r="P10" s="72">
        <v>0.35416666666666702</v>
      </c>
      <c r="Q10" s="108"/>
      <c r="R10" s="5"/>
      <c r="S10" s="72">
        <v>0.35416666666666702</v>
      </c>
      <c r="T10" s="108"/>
      <c r="U10" s="5"/>
      <c r="V10" s="65"/>
      <c r="W10" s="56"/>
      <c r="X10" s="24">
        <v>6</v>
      </c>
      <c r="Y10" s="17" t="str">
        <f>Übersicht!Q20</f>
        <v>Kategorie F</v>
      </c>
      <c r="Z10" s="6">
        <f>COUNTIF(B5:B36,"6")*0.5+COUNTIF(E5:E36,"6")*0.5+COUNTIF(H5:H36,"6")*0.5+COUNTIF(K5:K36,"6")*0.5+COUNTIF(N5:N36,"6")*0.5+COUNTIF(Q5:Q36,"6")*0.5+COUNTIF(T5:T36,"6")*0.5</f>
        <v>0</v>
      </c>
      <c r="AA10" s="61"/>
      <c r="AB10" s="2"/>
      <c r="AC10" s="2"/>
      <c r="AD10" s="2"/>
      <c r="AG10" s="90">
        <f>M3</f>
        <v>45660</v>
      </c>
      <c r="AH10" s="91">
        <f>COUNTIF(N5:N36,"1")*0.5</f>
        <v>0</v>
      </c>
      <c r="AI10" s="91">
        <f>COUNTIF(N5:N36,"2")*0.5</f>
        <v>0</v>
      </c>
      <c r="AJ10" s="91">
        <f>COUNTIF(N5:N36,"3")*0.5</f>
        <v>0</v>
      </c>
      <c r="AK10" s="91">
        <f>COUNTIF(N5:N36,"4")*0.5</f>
        <v>0</v>
      </c>
      <c r="AL10" s="91">
        <f>COUNTIF(N5:N36,"5")*0.5</f>
        <v>0</v>
      </c>
      <c r="AM10" s="91">
        <f>COUNTIF(N5:N36,"6")*0.5</f>
        <v>0</v>
      </c>
      <c r="AN10" s="91">
        <f>COUNTIF(N5:N36,"7")*0.5</f>
        <v>0</v>
      </c>
      <c r="AO10" s="91">
        <f>COUNTIF(N5:N36,"8")*0.5</f>
        <v>0</v>
      </c>
      <c r="AP10" s="91">
        <f>COUNTIF(N5:N36,"9")*0.5</f>
        <v>0</v>
      </c>
    </row>
    <row r="11" spans="1:42" ht="15" customHeight="1">
      <c r="A11" s="72">
        <v>0.375</v>
      </c>
      <c r="B11" s="108"/>
      <c r="C11" s="5"/>
      <c r="D11" s="72">
        <v>0.375</v>
      </c>
      <c r="E11" s="108"/>
      <c r="F11" s="5"/>
      <c r="G11" s="72">
        <v>0.375</v>
      </c>
      <c r="H11" s="108"/>
      <c r="I11" s="5"/>
      <c r="J11" s="72">
        <v>0.375</v>
      </c>
      <c r="K11" s="108"/>
      <c r="L11" s="5"/>
      <c r="M11" s="72">
        <v>0.375</v>
      </c>
      <c r="N11" s="108"/>
      <c r="O11" s="5"/>
      <c r="P11" s="72">
        <v>0.375</v>
      </c>
      <c r="Q11" s="108"/>
      <c r="R11" s="5"/>
      <c r="S11" s="72">
        <v>0.375</v>
      </c>
      <c r="T11" s="108"/>
      <c r="U11" s="5"/>
      <c r="V11" s="65"/>
      <c r="W11" s="56"/>
      <c r="X11" s="25">
        <v>7</v>
      </c>
      <c r="Y11" s="18" t="str">
        <f>Übersicht!Q22</f>
        <v>Kategorie G</v>
      </c>
      <c r="Z11" s="26">
        <f>COUNTIF(B5:B36,"7")*0.5+COUNTIF(E5:E36,"7")*0.5+COUNTIF(H5:H36,"7")*0.5+COUNTIF(K5:K36,"7")*0.5+COUNTIF(N5:N36,"7")*0.5+COUNTIF(Q5:Q36,"7")*0.5+COUNTIF(T5:T36,"7")*0.5</f>
        <v>0</v>
      </c>
      <c r="AA11" s="56"/>
      <c r="AG11" s="54">
        <f>P3</f>
        <v>45661</v>
      </c>
      <c r="AH11" s="91">
        <f>COUNTIF(Q5:Q36,"1")*0.5</f>
        <v>0</v>
      </c>
      <c r="AI11" s="91">
        <f>COUNTIF(Q5:Q36,"2")*0.5</f>
        <v>0</v>
      </c>
      <c r="AJ11" s="91">
        <f>COUNTIF(Q5:Q36,"3")*0.5</f>
        <v>0</v>
      </c>
      <c r="AK11" s="91">
        <f>COUNTIF(Q5:Q36,"4")*0.5</f>
        <v>0</v>
      </c>
      <c r="AL11" s="91">
        <f>COUNTIF(Q5:Q36,"5")*0.5</f>
        <v>0</v>
      </c>
      <c r="AM11" s="91">
        <f>COUNTIF(Q5:Q36,"6")*0.5</f>
        <v>0</v>
      </c>
      <c r="AN11" s="91">
        <f>COUNTIF(Q5:Q36,"7")*0.5</f>
        <v>0</v>
      </c>
      <c r="AO11" s="91">
        <f>COUNTIF(Q5:Q36,"8")*0.5</f>
        <v>0</v>
      </c>
      <c r="AP11" s="91">
        <f>COUNTIF(Q5:Q36,"9")*0.5</f>
        <v>0</v>
      </c>
    </row>
    <row r="12" spans="1:42" ht="15" customHeight="1">
      <c r="A12" s="72">
        <v>0.39583333333333298</v>
      </c>
      <c r="B12" s="108"/>
      <c r="C12" s="5"/>
      <c r="D12" s="72">
        <v>0.39583333333333298</v>
      </c>
      <c r="E12" s="108"/>
      <c r="F12" s="5"/>
      <c r="G12" s="72">
        <v>0.39583333333333298</v>
      </c>
      <c r="H12" s="108"/>
      <c r="I12" s="5"/>
      <c r="J12" s="72">
        <v>0.39583333333333298</v>
      </c>
      <c r="K12" s="108"/>
      <c r="L12" s="5"/>
      <c r="M12" s="72">
        <v>0.39583333333333298</v>
      </c>
      <c r="N12" s="108"/>
      <c r="O12" s="5"/>
      <c r="P12" s="72">
        <v>0.39583333333333298</v>
      </c>
      <c r="Q12" s="108"/>
      <c r="R12" s="5"/>
      <c r="S12" s="72">
        <v>0.39583333333333298</v>
      </c>
      <c r="T12" s="108"/>
      <c r="U12" s="5"/>
      <c r="V12" s="65"/>
      <c r="W12" s="56"/>
      <c r="X12" s="27">
        <v>8</v>
      </c>
      <c r="Y12" s="28" t="str">
        <f>Übersicht!Q24</f>
        <v>Kategorie H</v>
      </c>
      <c r="Z12" s="28">
        <f>COUNTIF(B5:B36,"8")*0.5+COUNTIF(E5:E36,"8")*0.5+COUNTIF(H5:H36,"8")*0.5+COUNTIF(K5:K36,"8")*0.5+COUNTIF(N5:N36,"8")*0.5+COUNTIF(Q5:Q36,"8")*0.5+COUNTIF(T5:T36,"8")*0.5</f>
        <v>0</v>
      </c>
      <c r="AA12" s="56"/>
      <c r="AG12" s="90">
        <f>S3</f>
        <v>45662</v>
      </c>
      <c r="AH12" s="91">
        <f>COUNTIF(T5:T36,"1")*0.5</f>
        <v>0</v>
      </c>
      <c r="AI12" s="91">
        <f>COUNTIF(T5:T36,"2")*0.5</f>
        <v>0</v>
      </c>
      <c r="AJ12" s="91">
        <f>COUNTIF(T5:T36,"3")*0.5</f>
        <v>0</v>
      </c>
      <c r="AK12" s="91">
        <f>COUNTIF(T5:T36,"4")*0.5</f>
        <v>0</v>
      </c>
      <c r="AL12" s="91">
        <f>COUNTIF(T5:T36,"5")*0.5</f>
        <v>0</v>
      </c>
      <c r="AM12" s="91">
        <f>COUNTIF(T5:T36,"6")*0.5</f>
        <v>0</v>
      </c>
      <c r="AN12" s="91">
        <f>COUNTIF(T5:T36,"7")*0.5</f>
        <v>0</v>
      </c>
      <c r="AO12" s="91">
        <f>COUNTIF(T5:T36,"8")*0.5</f>
        <v>0</v>
      </c>
      <c r="AP12" s="91">
        <f>COUNTIF(T5:T36,"9")*0.5</f>
        <v>0</v>
      </c>
    </row>
    <row r="13" spans="1:42" ht="15" customHeight="1">
      <c r="A13" s="72">
        <v>0.41666666666666702</v>
      </c>
      <c r="B13" s="108"/>
      <c r="C13" s="5"/>
      <c r="D13" s="72">
        <v>0.41666666666666702</v>
      </c>
      <c r="E13" s="108"/>
      <c r="F13" s="5"/>
      <c r="G13" s="72">
        <v>0.41666666666666702</v>
      </c>
      <c r="H13" s="108"/>
      <c r="I13" s="5"/>
      <c r="J13" s="72">
        <v>0.41666666666666702</v>
      </c>
      <c r="K13" s="108"/>
      <c r="L13" s="5"/>
      <c r="M13" s="72">
        <v>0.41666666666666702</v>
      </c>
      <c r="N13" s="108"/>
      <c r="O13" s="5"/>
      <c r="P13" s="72">
        <v>0.41666666666666702</v>
      </c>
      <c r="Q13" s="108"/>
      <c r="R13" s="5"/>
      <c r="S13" s="72">
        <v>0.41666666666666702</v>
      </c>
      <c r="T13" s="108"/>
      <c r="U13" s="5"/>
      <c r="V13" s="65"/>
      <c r="W13" s="56"/>
      <c r="X13" s="29">
        <v>9</v>
      </c>
      <c r="Y13" s="30" t="str">
        <f>Übersicht!Q26</f>
        <v>Kategorie I</v>
      </c>
      <c r="Z13" s="30">
        <f>COUNTIF(B5:B36,"9")*0.5+COUNTIF(E5:E36,"9")*0.5+COUNTIF(H5:H36,"9")*0.5+COUNTIF(K5:K36,"9")*0.5+COUNTIF(N5:N36,"9")*0.5+COUNTIF(Q5:Q36,"9")*0.5+COUNTIF(T5:T36,"9")*0.5</f>
        <v>0</v>
      </c>
      <c r="AA13" s="56"/>
    </row>
    <row r="14" spans="1:42" ht="15" customHeight="1">
      <c r="A14" s="72">
        <v>0.4375</v>
      </c>
      <c r="B14" s="108"/>
      <c r="C14" s="5"/>
      <c r="D14" s="72">
        <v>0.4375</v>
      </c>
      <c r="E14" s="108"/>
      <c r="F14" s="5"/>
      <c r="G14" s="72">
        <v>0.4375</v>
      </c>
      <c r="H14" s="108"/>
      <c r="I14" s="5"/>
      <c r="J14" s="72">
        <v>0.4375</v>
      </c>
      <c r="K14" s="108"/>
      <c r="L14" s="5"/>
      <c r="M14" s="72">
        <v>0.4375</v>
      </c>
      <c r="N14" s="108"/>
      <c r="O14" s="5"/>
      <c r="P14" s="72">
        <v>0.4375</v>
      </c>
      <c r="Q14" s="108"/>
      <c r="R14" s="5"/>
      <c r="S14" s="72">
        <v>0.4375</v>
      </c>
      <c r="T14" s="108"/>
      <c r="U14" s="5"/>
      <c r="V14" s="65"/>
      <c r="W14" s="56"/>
      <c r="X14" s="102">
        <v>0</v>
      </c>
      <c r="Y14" s="103"/>
      <c r="Z14" s="103"/>
      <c r="AA14" s="56"/>
    </row>
    <row r="15" spans="1:42" ht="15" customHeight="1">
      <c r="A15" s="72">
        <v>0.45833333333333298</v>
      </c>
      <c r="B15" s="108"/>
      <c r="C15" s="5"/>
      <c r="D15" s="72">
        <v>0.45833333333333298</v>
      </c>
      <c r="E15" s="108"/>
      <c r="F15" s="5"/>
      <c r="G15" s="72">
        <v>0.45833333333333298</v>
      </c>
      <c r="H15" s="108"/>
      <c r="I15" s="5"/>
      <c r="J15" s="72">
        <v>0.45833333333333298</v>
      </c>
      <c r="K15" s="108"/>
      <c r="L15" s="5"/>
      <c r="M15" s="72">
        <v>0.45833333333333298</v>
      </c>
      <c r="N15" s="108"/>
      <c r="O15" s="5"/>
      <c r="P15" s="72">
        <v>0.45833333333333298</v>
      </c>
      <c r="Q15" s="108"/>
      <c r="R15" s="5"/>
      <c r="S15" s="72">
        <v>0.45833333333333298</v>
      </c>
      <c r="T15" s="108"/>
      <c r="U15" s="5"/>
      <c r="V15" s="65"/>
      <c r="W15" s="56"/>
      <c r="X15" s="104" t="s">
        <v>74</v>
      </c>
      <c r="Y15" s="96" t="s">
        <v>72</v>
      </c>
      <c r="Z15" s="96">
        <f>COUNTIF(B5:B36,"U")*0.5+COUNTIF(E5:E36,"U")*0.5+COUNTIF(H5:H36,"U")*0.5+COUNTIF(K5:K36,"U")*0.5+COUNTIF(N5:N36,"U")*0.5+COUNTIF(Q5:Q36,"U")*0.5+COUNTIF(T5:T36,"U")*0.5</f>
        <v>0</v>
      </c>
      <c r="AA15" s="56"/>
    </row>
    <row r="16" spans="1:42" ht="15" customHeight="1">
      <c r="A16" s="72">
        <v>0.47916666666666602</v>
      </c>
      <c r="B16" s="108"/>
      <c r="C16" s="5"/>
      <c r="D16" s="72">
        <v>0.47916666666666602</v>
      </c>
      <c r="E16" s="108"/>
      <c r="F16" s="5"/>
      <c r="G16" s="72">
        <v>0.47916666666666602</v>
      </c>
      <c r="H16" s="108"/>
      <c r="I16" s="5"/>
      <c r="J16" s="72">
        <v>0.47916666666666602</v>
      </c>
      <c r="K16" s="108"/>
      <c r="L16" s="5"/>
      <c r="M16" s="72">
        <v>0.47916666666666602</v>
      </c>
      <c r="N16" s="108"/>
      <c r="O16" s="5"/>
      <c r="P16" s="72">
        <v>0.47916666666666602</v>
      </c>
      <c r="Q16" s="108"/>
      <c r="R16" s="5"/>
      <c r="S16" s="72">
        <v>0.47916666666666602</v>
      </c>
      <c r="T16" s="108"/>
      <c r="U16" s="5"/>
      <c r="V16" s="173" t="s">
        <v>7</v>
      </c>
      <c r="W16" s="56"/>
      <c r="X16" s="106" t="s">
        <v>75</v>
      </c>
      <c r="Y16" s="97" t="s">
        <v>73</v>
      </c>
      <c r="Z16" s="97">
        <f>COUNTIF(B5:B36,"K")*0.5+COUNTIF(E5:E36,"K")*0.5+COUNTIF(H5:H36,"K")*0.5+COUNTIF(K5:K36,"K")*0.5+COUNTIF(N5:N36,"K")*0.5+COUNTIF(Q5:Q36,"K")*0.5+COUNTIF(T5:T36,"K")*0.5</f>
        <v>0</v>
      </c>
      <c r="AA16" s="56"/>
    </row>
    <row r="17" spans="1:30" ht="15" customHeight="1">
      <c r="A17" s="72">
        <v>0.5</v>
      </c>
      <c r="B17" s="108"/>
      <c r="C17" s="5"/>
      <c r="D17" s="72">
        <v>0.5</v>
      </c>
      <c r="E17" s="108"/>
      <c r="F17" s="5"/>
      <c r="G17" s="72">
        <v>0.5</v>
      </c>
      <c r="H17" s="108"/>
      <c r="I17" s="5"/>
      <c r="J17" s="72">
        <v>0.5</v>
      </c>
      <c r="K17" s="108"/>
      <c r="L17" s="5"/>
      <c r="M17" s="72">
        <v>0.5</v>
      </c>
      <c r="N17" s="108"/>
      <c r="O17" s="5"/>
      <c r="P17" s="72">
        <v>0.5</v>
      </c>
      <c r="Q17" s="108"/>
      <c r="R17" s="5"/>
      <c r="S17" s="72">
        <v>0.5</v>
      </c>
      <c r="T17" s="108"/>
      <c r="U17" s="5"/>
      <c r="V17" s="174"/>
      <c r="W17" s="56"/>
      <c r="X17" s="105" t="s">
        <v>84</v>
      </c>
      <c r="Y17" s="98" t="s">
        <v>85</v>
      </c>
      <c r="Z17" s="99">
        <f>COUNTIF(B5:B36,"F")*0.5+COUNTIF(E5:E36,"F")*0.5+COUNTIF(H5:H36,"F")*0.5+COUNTIF(K5:K36,"F")*0.5+COUNTIF(N5:N36,"F")*0.5+COUNTIF(Q5:Q36,"F")*0.5+COUNTIF(T5:T36,"F")*0.5</f>
        <v>0</v>
      </c>
      <c r="AA17" s="61"/>
      <c r="AB17" s="2"/>
      <c r="AC17" s="2"/>
      <c r="AD17" s="2"/>
    </row>
    <row r="18" spans="1:30" ht="15" customHeight="1">
      <c r="A18" s="72">
        <v>0.52083333333333304</v>
      </c>
      <c r="B18" s="108"/>
      <c r="C18" s="5"/>
      <c r="D18" s="72">
        <v>0.52083333333333304</v>
      </c>
      <c r="E18" s="108"/>
      <c r="F18" s="5"/>
      <c r="G18" s="72">
        <v>0.52083333333333304</v>
      </c>
      <c r="H18" s="108"/>
      <c r="I18" s="5"/>
      <c r="J18" s="72">
        <v>0.52083333333333304</v>
      </c>
      <c r="K18" s="108"/>
      <c r="L18" s="5"/>
      <c r="M18" s="72">
        <v>0.52083333333333304</v>
      </c>
      <c r="N18" s="108"/>
      <c r="O18" s="5"/>
      <c r="P18" s="72">
        <v>0.52083333333333304</v>
      </c>
      <c r="Q18" s="108"/>
      <c r="R18" s="5"/>
      <c r="S18" s="72">
        <v>0.52083333333333304</v>
      </c>
      <c r="T18" s="108"/>
      <c r="U18" s="5"/>
      <c r="V18" s="66" t="s">
        <v>8</v>
      </c>
      <c r="W18" s="56"/>
      <c r="X18" s="107" t="s">
        <v>88</v>
      </c>
      <c r="Y18" s="100" t="s">
        <v>89</v>
      </c>
      <c r="Z18" s="101">
        <f>COUNTIF(B5:B36,"A")*0.5+COUNTIF(E5:E36,"A")*0.5+COUNTIF(H5:H36,"A")*0.5+COUNTIF(K5:K36,"A")*0.5+COUNTIF(N5:N36,"A")*0.5+COUNTIF(Q5:Q36,"A")*0.5+COUNTIF(T5:T36,"A")*0.5</f>
        <v>0</v>
      </c>
      <c r="AA18" s="56"/>
    </row>
    <row r="19" spans="1:30" ht="15" customHeight="1">
      <c r="A19" s="72">
        <v>0.54166666666666596</v>
      </c>
      <c r="B19" s="108"/>
      <c r="C19" s="5"/>
      <c r="D19" s="72">
        <v>0.54166666666666596</v>
      </c>
      <c r="E19" s="108"/>
      <c r="F19" s="5"/>
      <c r="G19" s="72">
        <v>0.54166666666666596</v>
      </c>
      <c r="H19" s="108"/>
      <c r="I19" s="5"/>
      <c r="J19" s="72">
        <v>0.54166666666666596</v>
      </c>
      <c r="K19" s="108"/>
      <c r="L19" s="5"/>
      <c r="M19" s="72">
        <v>0.54166666666666596</v>
      </c>
      <c r="N19" s="108"/>
      <c r="O19" s="5"/>
      <c r="P19" s="72">
        <v>0.54166666666666596</v>
      </c>
      <c r="Q19" s="108"/>
      <c r="R19" s="5"/>
      <c r="S19" s="72">
        <v>0.54166666666666596</v>
      </c>
      <c r="T19" s="108"/>
      <c r="U19" s="5"/>
      <c r="V19" s="66"/>
      <c r="W19" s="56"/>
      <c r="X19" s="93"/>
      <c r="Y19" s="94"/>
      <c r="Z19" s="94"/>
      <c r="AA19" s="56"/>
    </row>
    <row r="20" spans="1:30" ht="15" customHeight="1">
      <c r="A20" s="72">
        <v>0.5625</v>
      </c>
      <c r="B20" s="108"/>
      <c r="C20" s="5"/>
      <c r="D20" s="72">
        <v>0.5625</v>
      </c>
      <c r="E20" s="108"/>
      <c r="F20" s="5"/>
      <c r="G20" s="72">
        <v>0.5625</v>
      </c>
      <c r="H20" s="108"/>
      <c r="I20" s="5"/>
      <c r="J20" s="72">
        <v>0.5625</v>
      </c>
      <c r="K20" s="108"/>
      <c r="L20" s="5"/>
      <c r="M20" s="72">
        <v>0.5625</v>
      </c>
      <c r="N20" s="108"/>
      <c r="O20" s="5"/>
      <c r="P20" s="72">
        <v>0.5625</v>
      </c>
      <c r="Q20" s="108"/>
      <c r="R20" s="5"/>
      <c r="S20" s="72">
        <v>0.5625</v>
      </c>
      <c r="T20" s="108"/>
      <c r="U20" s="5"/>
      <c r="V20" s="67">
        <f>Übersicht!R29</f>
        <v>40</v>
      </c>
      <c r="W20" s="56"/>
      <c r="X20" s="56"/>
      <c r="Y20" s="56"/>
      <c r="Z20" s="92"/>
      <c r="AA20" s="56"/>
    </row>
    <row r="21" spans="1:30" ht="15" customHeight="1">
      <c r="A21" s="72">
        <v>0.58333333333333304</v>
      </c>
      <c r="B21" s="108"/>
      <c r="C21" s="5"/>
      <c r="D21" s="72">
        <v>0.58333333333333304</v>
      </c>
      <c r="E21" s="108"/>
      <c r="F21" s="5"/>
      <c r="G21" s="72">
        <v>0.58333333333333304</v>
      </c>
      <c r="H21" s="108"/>
      <c r="I21" s="5"/>
      <c r="J21" s="72">
        <v>0.58333333333333304</v>
      </c>
      <c r="K21" s="108"/>
      <c r="L21" s="5"/>
      <c r="M21" s="72">
        <v>0.58333333333333304</v>
      </c>
      <c r="N21" s="108"/>
      <c r="O21" s="5"/>
      <c r="P21" s="72">
        <v>0.58333333333333304</v>
      </c>
      <c r="Q21" s="108"/>
      <c r="R21" s="5"/>
      <c r="S21" s="72">
        <v>0.58333333333333304</v>
      </c>
      <c r="T21" s="108"/>
      <c r="U21" s="5"/>
      <c r="V21" s="68"/>
      <c r="W21" s="56"/>
      <c r="X21" s="95"/>
      <c r="Y21" s="94"/>
      <c r="Z21" s="94"/>
      <c r="AA21" s="61"/>
      <c r="AB21" s="2"/>
      <c r="AC21" s="2"/>
    </row>
    <row r="22" spans="1:30" ht="15" customHeight="1">
      <c r="A22" s="72">
        <v>0.60416666666666596</v>
      </c>
      <c r="B22" s="108"/>
      <c r="C22" s="5"/>
      <c r="D22" s="72">
        <v>0.60416666666666596</v>
      </c>
      <c r="E22" s="108"/>
      <c r="F22" s="5"/>
      <c r="G22" s="72">
        <v>0.60416666666666596</v>
      </c>
      <c r="H22" s="108"/>
      <c r="I22" s="5"/>
      <c r="J22" s="72">
        <v>0.60416666666666596</v>
      </c>
      <c r="K22" s="108"/>
      <c r="L22" s="5"/>
      <c r="M22" s="72">
        <v>0.60416666666666596</v>
      </c>
      <c r="N22" s="108"/>
      <c r="O22" s="5"/>
      <c r="P22" s="72">
        <v>0.60416666666666596</v>
      </c>
      <c r="Q22" s="108"/>
      <c r="R22" s="5"/>
      <c r="S22" s="72">
        <v>0.60416666666666596</v>
      </c>
      <c r="T22" s="108"/>
      <c r="U22" s="5"/>
      <c r="V22" s="69"/>
      <c r="W22" s="56"/>
      <c r="X22" s="56"/>
      <c r="Y22" s="56"/>
      <c r="Z22" s="56"/>
      <c r="AA22" s="56"/>
    </row>
    <row r="23" spans="1:30" ht="15" customHeight="1">
      <c r="A23" s="72">
        <v>0.625</v>
      </c>
      <c r="B23" s="108"/>
      <c r="C23" s="5"/>
      <c r="D23" s="72">
        <v>0.625</v>
      </c>
      <c r="E23" s="108"/>
      <c r="F23" s="5"/>
      <c r="G23" s="72">
        <v>0.625</v>
      </c>
      <c r="H23" s="108"/>
      <c r="I23" s="5"/>
      <c r="J23" s="72">
        <v>0.625</v>
      </c>
      <c r="K23" s="108"/>
      <c r="L23" s="5"/>
      <c r="M23" s="72">
        <v>0.625</v>
      </c>
      <c r="N23" s="108"/>
      <c r="O23" s="5"/>
      <c r="P23" s="72">
        <v>0.625</v>
      </c>
      <c r="Q23" s="108"/>
      <c r="R23" s="5"/>
      <c r="S23" s="72">
        <v>0.625</v>
      </c>
      <c r="T23" s="108"/>
      <c r="U23" s="5"/>
      <c r="V23" s="66" t="s">
        <v>90</v>
      </c>
      <c r="W23" s="56"/>
      <c r="X23" s="56"/>
      <c r="Y23" s="56"/>
      <c r="Z23" s="56"/>
      <c r="AA23" s="56"/>
    </row>
    <row r="24" spans="1:30" ht="15" customHeight="1">
      <c r="A24" s="72">
        <v>0.64583333333333304</v>
      </c>
      <c r="B24" s="108"/>
      <c r="C24" s="5"/>
      <c r="D24" s="72">
        <v>0.64583333333333304</v>
      </c>
      <c r="E24" s="108"/>
      <c r="F24" s="5"/>
      <c r="G24" s="72">
        <v>0.64583333333333304</v>
      </c>
      <c r="H24" s="108"/>
      <c r="I24" s="5"/>
      <c r="J24" s="72">
        <v>0.64583333333333304</v>
      </c>
      <c r="K24" s="108"/>
      <c r="L24" s="5"/>
      <c r="M24" s="72">
        <v>0.64583333333333304</v>
      </c>
      <c r="N24" s="108"/>
      <c r="O24" s="5"/>
      <c r="P24" s="72">
        <v>0.64583333333333304</v>
      </c>
      <c r="Q24" s="108"/>
      <c r="R24" s="5"/>
      <c r="S24" s="72">
        <v>0.64583333333333304</v>
      </c>
      <c r="T24" s="108"/>
      <c r="U24" s="5"/>
      <c r="V24" s="66" t="s">
        <v>5</v>
      </c>
      <c r="W24" s="62"/>
      <c r="X24" s="62"/>
      <c r="Y24" s="62"/>
      <c r="Z24" s="56"/>
      <c r="AA24" s="56"/>
    </row>
    <row r="25" spans="1:30" ht="15" customHeight="1">
      <c r="A25" s="72">
        <v>0.66666666666666596</v>
      </c>
      <c r="B25" s="108"/>
      <c r="C25" s="5"/>
      <c r="D25" s="72">
        <v>0.66666666666666596</v>
      </c>
      <c r="E25" s="108"/>
      <c r="F25" s="5"/>
      <c r="G25" s="72">
        <v>0.66666666666666596</v>
      </c>
      <c r="H25" s="108"/>
      <c r="I25" s="5"/>
      <c r="J25" s="72">
        <v>0.66666666666666596</v>
      </c>
      <c r="K25" s="108"/>
      <c r="L25" s="5"/>
      <c r="M25" s="72">
        <v>0.66666666666666596</v>
      </c>
      <c r="N25" s="108"/>
      <c r="O25" s="5"/>
      <c r="P25" s="72">
        <v>0.66666666666666596</v>
      </c>
      <c r="Q25" s="108"/>
      <c r="R25" s="5"/>
      <c r="S25" s="72">
        <v>0.66666666666666596</v>
      </c>
      <c r="T25" s="108"/>
      <c r="U25" s="5"/>
      <c r="V25" s="68"/>
      <c r="W25" s="62"/>
      <c r="X25" s="62"/>
      <c r="Y25" s="62"/>
      <c r="Z25" s="56"/>
      <c r="AA25" s="56"/>
    </row>
    <row r="26" spans="1:30" ht="15" customHeight="1">
      <c r="A26" s="72">
        <v>0.6875</v>
      </c>
      <c r="B26" s="108"/>
      <c r="C26" s="5"/>
      <c r="D26" s="72">
        <v>0.6875</v>
      </c>
      <c r="E26" s="108"/>
      <c r="F26" s="5"/>
      <c r="G26" s="72">
        <v>0.6875</v>
      </c>
      <c r="H26" s="108"/>
      <c r="I26" s="5"/>
      <c r="J26" s="72">
        <v>0.6875</v>
      </c>
      <c r="K26" s="108"/>
      <c r="L26" s="5"/>
      <c r="M26" s="72">
        <v>0.6875</v>
      </c>
      <c r="N26" s="108"/>
      <c r="O26" s="5"/>
      <c r="P26" s="72">
        <v>0.6875</v>
      </c>
      <c r="Q26" s="108"/>
      <c r="R26" s="5"/>
      <c r="S26" s="72">
        <v>0.6875</v>
      </c>
      <c r="T26" s="108"/>
      <c r="U26" s="5"/>
      <c r="V26" s="67">
        <f>'KW 52'!V32</f>
        <v>-2080</v>
      </c>
      <c r="W26" s="62"/>
      <c r="X26" s="63"/>
      <c r="Y26" s="62"/>
      <c r="Z26" s="56"/>
      <c r="AA26" s="56"/>
    </row>
    <row r="27" spans="1:30" ht="15" customHeight="1">
      <c r="A27" s="72">
        <v>0.70833333333333304</v>
      </c>
      <c r="B27" s="108"/>
      <c r="C27" s="5"/>
      <c r="D27" s="72">
        <v>0.70833333333333304</v>
      </c>
      <c r="E27" s="108"/>
      <c r="F27" s="5"/>
      <c r="G27" s="72">
        <v>0.70833333333333304</v>
      </c>
      <c r="H27" s="108"/>
      <c r="I27" s="5"/>
      <c r="J27" s="72">
        <v>0.70833333333333304</v>
      </c>
      <c r="K27" s="108"/>
      <c r="L27" s="5"/>
      <c r="M27" s="72">
        <v>0.70833333333333304</v>
      </c>
      <c r="N27" s="108"/>
      <c r="O27" s="5"/>
      <c r="P27" s="72">
        <v>0.70833333333333304</v>
      </c>
      <c r="Q27" s="108"/>
      <c r="R27" s="5"/>
      <c r="S27" s="72">
        <v>0.70833333333333304</v>
      </c>
      <c r="T27" s="108"/>
      <c r="U27" s="5"/>
      <c r="V27" s="65"/>
      <c r="W27" s="62"/>
      <c r="X27" s="63"/>
      <c r="Y27" s="62"/>
      <c r="Z27" s="56"/>
      <c r="AA27" s="56"/>
    </row>
    <row r="28" spans="1:30" ht="15" customHeight="1">
      <c r="A28" s="72">
        <v>0.72916666666666596</v>
      </c>
      <c r="B28" s="108"/>
      <c r="C28" s="5"/>
      <c r="D28" s="72">
        <v>0.72916666666666596</v>
      </c>
      <c r="E28" s="108"/>
      <c r="F28" s="5"/>
      <c r="G28" s="72">
        <v>0.72916666666666596</v>
      </c>
      <c r="H28" s="108"/>
      <c r="I28" s="5"/>
      <c r="J28" s="72">
        <v>0.72916666666666596</v>
      </c>
      <c r="K28" s="108"/>
      <c r="L28" s="5"/>
      <c r="M28" s="72">
        <v>0.72916666666666596</v>
      </c>
      <c r="N28" s="108"/>
      <c r="O28" s="5"/>
      <c r="P28" s="72">
        <v>0.72916666666666596</v>
      </c>
      <c r="Q28" s="108"/>
      <c r="R28" s="5"/>
      <c r="S28" s="72">
        <v>0.72916666666666596</v>
      </c>
      <c r="T28" s="108"/>
      <c r="U28" s="5"/>
      <c r="V28" s="69"/>
      <c r="W28" s="62"/>
      <c r="X28" s="63"/>
      <c r="Y28" s="62"/>
      <c r="Z28" s="56"/>
      <c r="AA28" s="56"/>
    </row>
    <row r="29" spans="1:30" ht="15" customHeight="1">
      <c r="A29" s="72">
        <v>0.75</v>
      </c>
      <c r="B29" s="108"/>
      <c r="C29" s="5"/>
      <c r="D29" s="72">
        <v>0.75</v>
      </c>
      <c r="E29" s="108"/>
      <c r="F29" s="5"/>
      <c r="G29" s="72">
        <v>0.75</v>
      </c>
      <c r="H29" s="108"/>
      <c r="I29" s="5"/>
      <c r="J29" s="72">
        <v>0.75</v>
      </c>
      <c r="K29" s="108"/>
      <c r="L29" s="5"/>
      <c r="M29" s="72">
        <v>0.75</v>
      </c>
      <c r="N29" s="108"/>
      <c r="O29" s="5"/>
      <c r="P29" s="72">
        <v>0.75</v>
      </c>
      <c r="Q29" s="108"/>
      <c r="R29" s="5"/>
      <c r="S29" s="72">
        <v>0.75</v>
      </c>
      <c r="T29" s="108"/>
      <c r="U29" s="5"/>
      <c r="V29" s="109" t="s">
        <v>90</v>
      </c>
      <c r="W29" s="56"/>
      <c r="X29" s="64"/>
      <c r="Y29" s="56"/>
      <c r="Z29" s="56"/>
      <c r="AA29" s="56"/>
    </row>
    <row r="30" spans="1:30" ht="15" customHeight="1">
      <c r="A30" s="72">
        <v>0.77083333333333304</v>
      </c>
      <c r="B30" s="108"/>
      <c r="C30" s="5"/>
      <c r="D30" s="72">
        <v>0.77083333333333304</v>
      </c>
      <c r="E30" s="108"/>
      <c r="F30" s="5"/>
      <c r="G30" s="72">
        <v>0.77083333333333304</v>
      </c>
      <c r="H30" s="108"/>
      <c r="I30" s="5"/>
      <c r="J30" s="72">
        <v>0.77083333333333304</v>
      </c>
      <c r="K30" s="108"/>
      <c r="L30" s="5"/>
      <c r="M30" s="72">
        <v>0.77083333333333304</v>
      </c>
      <c r="N30" s="108"/>
      <c r="O30" s="5"/>
      <c r="P30" s="72">
        <v>0.77083333333333304</v>
      </c>
      <c r="Q30" s="108"/>
      <c r="R30" s="5"/>
      <c r="S30" s="72">
        <v>0.77083333333333304</v>
      </c>
      <c r="T30" s="108"/>
      <c r="U30" s="5"/>
      <c r="V30" s="109" t="s">
        <v>68</v>
      </c>
      <c r="W30" s="56"/>
      <c r="X30" s="64"/>
      <c r="Y30" s="56"/>
      <c r="Z30" s="56"/>
      <c r="AA30" s="56"/>
    </row>
    <row r="31" spans="1:30" ht="15" customHeight="1">
      <c r="A31" s="72">
        <v>0.79166666666666596</v>
      </c>
      <c r="B31" s="108"/>
      <c r="C31" s="5"/>
      <c r="D31" s="72">
        <v>0.79166666666666596</v>
      </c>
      <c r="E31" s="108"/>
      <c r="F31" s="5"/>
      <c r="G31" s="72">
        <v>0.79166666666666596</v>
      </c>
      <c r="H31" s="108"/>
      <c r="I31" s="5"/>
      <c r="J31" s="72">
        <v>0.79166666666666596</v>
      </c>
      <c r="K31" s="108"/>
      <c r="L31" s="5"/>
      <c r="M31" s="72">
        <v>0.79166666666666596</v>
      </c>
      <c r="N31" s="108"/>
      <c r="O31" s="5"/>
      <c r="P31" s="72">
        <v>0.79166666666666596</v>
      </c>
      <c r="Q31" s="108"/>
      <c r="R31" s="5"/>
      <c r="S31" s="72">
        <v>0.79166666666666596</v>
      </c>
      <c r="T31" s="108"/>
      <c r="U31" s="5"/>
      <c r="V31" s="68"/>
      <c r="W31" s="56"/>
      <c r="X31" s="64"/>
      <c r="Y31" s="56"/>
      <c r="Z31" s="56"/>
      <c r="AA31" s="56"/>
    </row>
    <row r="32" spans="1:30" ht="15" customHeight="1">
      <c r="A32" s="72">
        <v>0.812499999999999</v>
      </c>
      <c r="B32" s="108"/>
      <c r="C32" s="5"/>
      <c r="D32" s="72">
        <v>0.812499999999999</v>
      </c>
      <c r="E32" s="108"/>
      <c r="F32" s="5"/>
      <c r="G32" s="72">
        <v>0.812499999999999</v>
      </c>
      <c r="H32" s="108"/>
      <c r="I32" s="5"/>
      <c r="J32" s="72">
        <v>0.812499999999999</v>
      </c>
      <c r="K32" s="108"/>
      <c r="L32" s="5"/>
      <c r="M32" s="72">
        <v>0.812499999999999</v>
      </c>
      <c r="N32" s="108"/>
      <c r="O32" s="5"/>
      <c r="P32" s="72">
        <v>0.812499999999999</v>
      </c>
      <c r="Q32" s="108"/>
      <c r="R32" s="5"/>
      <c r="S32" s="72">
        <v>0.812499999999999</v>
      </c>
      <c r="T32" s="108"/>
      <c r="U32" s="5"/>
      <c r="V32" s="67">
        <f>V35-V20+V26</f>
        <v>-2120</v>
      </c>
      <c r="W32" s="56"/>
      <c r="X32" s="64"/>
      <c r="Y32" s="56"/>
      <c r="Z32" s="56"/>
      <c r="AA32" s="56"/>
    </row>
    <row r="33" spans="1:27" ht="15.75" customHeight="1" thickBot="1">
      <c r="A33" s="72">
        <v>0.83333333333333204</v>
      </c>
      <c r="B33" s="108"/>
      <c r="C33" s="5"/>
      <c r="D33" s="72">
        <v>0.83333333333333204</v>
      </c>
      <c r="E33" s="108"/>
      <c r="F33" s="5"/>
      <c r="G33" s="72">
        <v>0.83333333333333204</v>
      </c>
      <c r="H33" s="108"/>
      <c r="I33" s="5"/>
      <c r="J33" s="72">
        <v>0.83333333333333204</v>
      </c>
      <c r="K33" s="108"/>
      <c r="L33" s="5"/>
      <c r="M33" s="72">
        <v>0.83333333333333204</v>
      </c>
      <c r="N33" s="108"/>
      <c r="O33" s="5"/>
      <c r="P33" s="72">
        <v>0.83333333333333204</v>
      </c>
      <c r="Q33" s="108"/>
      <c r="R33" s="5"/>
      <c r="S33" s="72">
        <v>0.83333333333333204</v>
      </c>
      <c r="T33" s="108"/>
      <c r="U33" s="5"/>
      <c r="V33" s="68"/>
      <c r="W33" s="56"/>
      <c r="X33" s="56"/>
      <c r="Y33" s="56"/>
      <c r="Z33" s="56"/>
      <c r="AA33" s="56"/>
    </row>
    <row r="34" spans="1:27" ht="15" thickTop="1">
      <c r="A34" s="72">
        <v>0.85416666666666496</v>
      </c>
      <c r="B34" s="108"/>
      <c r="C34" s="5"/>
      <c r="D34" s="72">
        <v>0.85416666666666496</v>
      </c>
      <c r="E34" s="108"/>
      <c r="F34" s="5"/>
      <c r="G34" s="72">
        <v>0.85416666666666496</v>
      </c>
      <c r="H34" s="108"/>
      <c r="I34" s="5"/>
      <c r="J34" s="72">
        <v>0.85416666666666496</v>
      </c>
      <c r="K34" s="108"/>
      <c r="L34" s="5"/>
      <c r="M34" s="72">
        <v>0.85416666666666496</v>
      </c>
      <c r="N34" s="108"/>
      <c r="O34" s="5"/>
      <c r="P34" s="72">
        <v>0.85416666666666496</v>
      </c>
      <c r="Q34" s="108"/>
      <c r="R34" s="5"/>
      <c r="S34" s="72">
        <v>0.85416666666666496</v>
      </c>
      <c r="T34" s="108"/>
      <c r="U34" s="5"/>
      <c r="V34" s="70" t="s">
        <v>6</v>
      </c>
      <c r="W34" s="56"/>
      <c r="X34" s="56"/>
      <c r="Y34" s="56"/>
      <c r="Z34" s="56"/>
      <c r="AA34" s="56"/>
    </row>
    <row r="35" spans="1:27">
      <c r="A35" s="72">
        <v>0.874999999999998</v>
      </c>
      <c r="B35" s="108"/>
      <c r="C35" s="5"/>
      <c r="D35" s="72">
        <v>0.874999999999998</v>
      </c>
      <c r="E35" s="108"/>
      <c r="F35" s="5"/>
      <c r="G35" s="72">
        <v>0.874999999999998</v>
      </c>
      <c r="H35" s="108"/>
      <c r="I35" s="5"/>
      <c r="J35" s="72">
        <v>0.874999999999998</v>
      </c>
      <c r="K35" s="108"/>
      <c r="L35" s="5"/>
      <c r="M35" s="72">
        <v>0.874999999999998</v>
      </c>
      <c r="N35" s="108"/>
      <c r="O35" s="5"/>
      <c r="P35" s="72">
        <v>0.874999999999998</v>
      </c>
      <c r="Q35" s="108"/>
      <c r="R35" s="5"/>
      <c r="S35" s="72">
        <v>0.874999999999998</v>
      </c>
      <c r="T35" s="108"/>
      <c r="U35" s="5"/>
      <c r="V35" s="169">
        <f>SUM(C37,F37,I37,L37,O37,R37,U37)</f>
        <v>0</v>
      </c>
      <c r="W35" s="56"/>
      <c r="X35" s="56"/>
      <c r="Y35" s="56"/>
      <c r="Z35" s="56"/>
      <c r="AA35" s="56"/>
    </row>
    <row r="36" spans="1:27" ht="15" customHeight="1">
      <c r="A36" s="72">
        <v>0.89583333333333104</v>
      </c>
      <c r="B36" s="108"/>
      <c r="C36" s="5"/>
      <c r="D36" s="72">
        <v>0.89583333333333104</v>
      </c>
      <c r="E36" s="108"/>
      <c r="F36" s="5"/>
      <c r="G36" s="72">
        <v>0.89583333333333104</v>
      </c>
      <c r="H36" s="108"/>
      <c r="I36" s="5"/>
      <c r="J36" s="72">
        <v>0.89583333333333104</v>
      </c>
      <c r="K36" s="108"/>
      <c r="L36" s="5"/>
      <c r="M36" s="72">
        <v>0.89583333333333104</v>
      </c>
      <c r="N36" s="108"/>
      <c r="O36" s="5"/>
      <c r="P36" s="72">
        <v>0.89583333333333104</v>
      </c>
      <c r="Q36" s="108"/>
      <c r="R36" s="5"/>
      <c r="S36" s="72">
        <v>0.89583333333333104</v>
      </c>
      <c r="T36" s="108"/>
      <c r="U36" s="5"/>
      <c r="V36" s="169"/>
      <c r="W36" s="56"/>
      <c r="X36" s="56"/>
      <c r="Y36" s="56"/>
      <c r="Z36" s="56"/>
      <c r="AA36" s="56"/>
    </row>
    <row r="37" spans="1:27" ht="15.75" customHeight="1" thickBot="1">
      <c r="A37" s="170" t="s">
        <v>2</v>
      </c>
      <c r="B37" s="171"/>
      <c r="C37" s="88">
        <f>COUNTIF(B5:B36,"&gt;0")*0.5+COUNTIF(B5:B36,"k")*0.5+COUNTIF(B5:B36,"u")*0.5+COUNTIF(B5:B36,"f")*0.5</f>
        <v>0</v>
      </c>
      <c r="D37" s="172" t="s">
        <v>2</v>
      </c>
      <c r="E37" s="171"/>
      <c r="F37" s="88">
        <f>COUNTIF(E5:E36,"k")*0.5+COUNTIF(E5:E36,"u")*0.5+COUNTIF(E5:E36,"f")*0.5+COUNTIF(E5:E36,"&gt;0")*0.5</f>
        <v>0</v>
      </c>
      <c r="G37" s="172" t="s">
        <v>2</v>
      </c>
      <c r="H37" s="171"/>
      <c r="I37" s="88">
        <f>COUNTIF(H5:H36,"k")*0.5+COUNTIF(H5:H36,"u")*0.5+COUNTIF(H5:H36,"f")*0.5+COUNTIF(H5:H36,"&gt;0")*0.5</f>
        <v>0</v>
      </c>
      <c r="J37" s="172" t="s">
        <v>2</v>
      </c>
      <c r="K37" s="171"/>
      <c r="L37" s="88">
        <f>COUNTIF(K5:K36,"k")*0.5+COUNTIF(K5:K36,"u")*0.5+COUNTIF(K5:K36,"f")*0.5+COUNTIF(K5:K36,"&gt;0")*0.5</f>
        <v>0</v>
      </c>
      <c r="M37" s="172" t="s">
        <v>2</v>
      </c>
      <c r="N37" s="171"/>
      <c r="O37" s="88">
        <f>COUNTIF(N5:N36,"k")*0.5+COUNTIF(N5:N36,"u")*0.5+COUNTIF(N5:N36,"f")*0.5+COUNTIF(N5:N36,"&gt;0")*0.5</f>
        <v>0</v>
      </c>
      <c r="P37" s="172" t="s">
        <v>2</v>
      </c>
      <c r="Q37" s="171"/>
      <c r="R37" s="88">
        <f>COUNTIF(Q5:Q36,"k")*0.5+COUNTIF(Q5:Q36,"u")*0.5+COUNTIF(Q5:Q36,"f")*0.5+COUNTIF(Q5:Q36,"&gt;0")*0.5</f>
        <v>0</v>
      </c>
      <c r="S37" s="172" t="s">
        <v>2</v>
      </c>
      <c r="T37" s="171"/>
      <c r="U37" s="88">
        <f>COUNTIF(T5:T36,"k")*0.5+COUNTIF(T5:T36,"u")*0.5+COUNTIF(T5:T36,"f")*0.5+COUNTIF(T5:T36,"&gt;0")*0.5</f>
        <v>0</v>
      </c>
      <c r="V37" s="71"/>
      <c r="W37" s="56"/>
      <c r="X37" s="56"/>
      <c r="Y37" s="56"/>
      <c r="Z37" s="56"/>
      <c r="AA37" s="56"/>
    </row>
    <row r="38" spans="1:27" ht="15" thickTop="1"/>
    <row r="40" spans="1:27">
      <c r="O40" s="3" t="s">
        <v>9</v>
      </c>
      <c r="P40" s="3"/>
      <c r="Q40" s="3"/>
      <c r="R40" s="3" t="s">
        <v>10</v>
      </c>
      <c r="S40" s="4"/>
      <c r="T40" s="4"/>
      <c r="U40" s="4"/>
      <c r="V40" s="4"/>
    </row>
  </sheetData>
  <mergeCells count="27">
    <mergeCell ref="V16:V17"/>
    <mergeCell ref="V35:V36"/>
    <mergeCell ref="A37:B37"/>
    <mergeCell ref="D37:E37"/>
    <mergeCell ref="G37:H37"/>
    <mergeCell ref="J37:K37"/>
    <mergeCell ref="M37:N37"/>
    <mergeCell ref="P37:Q37"/>
    <mergeCell ref="S37:T37"/>
    <mergeCell ref="S2:U2"/>
    <mergeCell ref="A3:C3"/>
    <mergeCell ref="D3:F3"/>
    <mergeCell ref="G3:I3"/>
    <mergeCell ref="J3:L3"/>
    <mergeCell ref="M3:O3"/>
    <mergeCell ref="P3:R3"/>
    <mergeCell ref="S3:U3"/>
    <mergeCell ref="E1:G1"/>
    <mergeCell ref="L1:N1"/>
    <mergeCell ref="P1:Q1"/>
    <mergeCell ref="T1:U1"/>
    <mergeCell ref="A2:C2"/>
    <mergeCell ref="D2:F2"/>
    <mergeCell ref="G2:I2"/>
    <mergeCell ref="J2:L2"/>
    <mergeCell ref="M2:O2"/>
    <mergeCell ref="P2:R2"/>
  </mergeCells>
  <conditionalFormatting sqref="C5:C36">
    <cfRule type="expression" dxfId="183" priority="159">
      <formula>COUNTIF(B5,"a")</formula>
    </cfRule>
    <cfRule type="expression" dxfId="182" priority="161">
      <formula>COUNTIF(B5,"9")</formula>
    </cfRule>
    <cfRule type="expression" dxfId="181" priority="163">
      <formula>COUNTIF(B5,"k")</formula>
    </cfRule>
    <cfRule type="expression" dxfId="180" priority="164">
      <formula>COUNTIF(B5,"u")</formula>
    </cfRule>
    <cfRule type="expression" dxfId="179" priority="167">
      <formula>COUNTIF(B5,"f")</formula>
    </cfRule>
    <cfRule type="expression" dxfId="178" priority="168">
      <formula>COUNTIF(B5,"8")</formula>
    </cfRule>
    <cfRule type="expression" dxfId="177" priority="169">
      <formula>COUNTIF(B5,"7")</formula>
    </cfRule>
    <cfRule type="expression" dxfId="176" priority="170">
      <formula>COUNTIF(B5,"3")</formula>
    </cfRule>
    <cfRule type="expression" dxfId="175" priority="181">
      <formula>COUNTIF(B5,"5")</formula>
    </cfRule>
    <cfRule type="expression" dxfId="174" priority="182">
      <formula>COUNTIF(B5,"2")</formula>
    </cfRule>
    <cfRule type="expression" dxfId="173" priority="183">
      <formula>COUNTIF(B5,"4")</formula>
    </cfRule>
    <cfRule type="expression" dxfId="172" priority="184">
      <formula>COUNTIF(B5,"1")</formula>
    </cfRule>
  </conditionalFormatting>
  <conditionalFormatting sqref="B5:B36">
    <cfRule type="cellIs" dxfId="171" priority="160" operator="equal">
      <formula>"a"</formula>
    </cfRule>
    <cfRule type="cellIs" dxfId="170" priority="162" operator="equal">
      <formula>"k"</formula>
    </cfRule>
    <cfRule type="cellIs" dxfId="169" priority="165" operator="equal">
      <formula>"u"</formula>
    </cfRule>
    <cfRule type="cellIs" dxfId="168" priority="166" operator="equal">
      <formula>"f"</formula>
    </cfRule>
    <cfRule type="cellIs" dxfId="167" priority="171" operator="equal">
      <formula>9</formula>
    </cfRule>
    <cfRule type="cellIs" dxfId="166" priority="172" operator="equal">
      <formula>8</formula>
    </cfRule>
    <cfRule type="cellIs" dxfId="165" priority="173" operator="equal">
      <formula>5</formula>
    </cfRule>
    <cfRule type="cellIs" dxfId="164" priority="174" operator="equal">
      <formula>3</formula>
    </cfRule>
    <cfRule type="cellIs" dxfId="163" priority="176" operator="equal">
      <formula>6</formula>
    </cfRule>
    <cfRule type="cellIs" dxfId="162" priority="177" operator="equal">
      <formula>4</formula>
    </cfRule>
    <cfRule type="cellIs" dxfId="161" priority="178" operator="equal">
      <formula>2</formula>
    </cfRule>
    <cfRule type="cellIs" dxfId="160" priority="179" operator="equal">
      <formula>7</formula>
    </cfRule>
    <cfRule type="cellIs" dxfId="159" priority="180" operator="equal">
      <formula>1</formula>
    </cfRule>
  </conditionalFormatting>
  <conditionalFormatting sqref="C5:C36">
    <cfRule type="expression" dxfId="158" priority="175">
      <formula>COUNTIF(B5,"6")</formula>
    </cfRule>
  </conditionalFormatting>
  <conditionalFormatting sqref="E5:E36">
    <cfRule type="cellIs" dxfId="157" priority="146" operator="equal">
      <formula>"a"</formula>
    </cfRule>
    <cfRule type="cellIs" dxfId="156" priority="147" operator="equal">
      <formula>"k"</formula>
    </cfRule>
    <cfRule type="cellIs" dxfId="155" priority="148" operator="equal">
      <formula>"u"</formula>
    </cfRule>
    <cfRule type="cellIs" dxfId="154" priority="149" operator="equal">
      <formula>"f"</formula>
    </cfRule>
    <cfRule type="cellIs" dxfId="153" priority="150" operator="equal">
      <formula>9</formula>
    </cfRule>
    <cfRule type="cellIs" dxfId="152" priority="151" operator="equal">
      <formula>8</formula>
    </cfRule>
    <cfRule type="cellIs" dxfId="151" priority="152" operator="equal">
      <formula>5</formula>
    </cfRule>
    <cfRule type="cellIs" dxfId="150" priority="153" operator="equal">
      <formula>3</formula>
    </cfRule>
    <cfRule type="cellIs" dxfId="149" priority="154" operator="equal">
      <formula>6</formula>
    </cfRule>
    <cfRule type="cellIs" dxfId="148" priority="155" operator="equal">
      <formula>4</formula>
    </cfRule>
    <cfRule type="cellIs" dxfId="147" priority="156" operator="equal">
      <formula>2</formula>
    </cfRule>
    <cfRule type="cellIs" dxfId="146" priority="157" operator="equal">
      <formula>7</formula>
    </cfRule>
    <cfRule type="cellIs" dxfId="145" priority="158" operator="equal">
      <formula>1</formula>
    </cfRule>
  </conditionalFormatting>
  <conditionalFormatting sqref="H5:H36">
    <cfRule type="cellIs" dxfId="144" priority="133" operator="equal">
      <formula>"a"</formula>
    </cfRule>
    <cfRule type="cellIs" dxfId="143" priority="134" operator="equal">
      <formula>"k"</formula>
    </cfRule>
    <cfRule type="cellIs" dxfId="142" priority="135" operator="equal">
      <formula>"u"</formula>
    </cfRule>
    <cfRule type="cellIs" dxfId="141" priority="136" operator="equal">
      <formula>"f"</formula>
    </cfRule>
    <cfRule type="cellIs" dxfId="140" priority="137" operator="equal">
      <formula>9</formula>
    </cfRule>
    <cfRule type="cellIs" dxfId="139" priority="138" operator="equal">
      <formula>8</formula>
    </cfRule>
    <cfRule type="cellIs" dxfId="138" priority="139" operator="equal">
      <formula>5</formula>
    </cfRule>
    <cfRule type="cellIs" dxfId="137" priority="140" operator="equal">
      <formula>3</formula>
    </cfRule>
    <cfRule type="cellIs" dxfId="136" priority="141" operator="equal">
      <formula>6</formula>
    </cfRule>
    <cfRule type="cellIs" dxfId="135" priority="142" operator="equal">
      <formula>4</formula>
    </cfRule>
    <cfRule type="cellIs" dxfId="134" priority="143" operator="equal">
      <formula>2</formula>
    </cfRule>
    <cfRule type="cellIs" dxfId="133" priority="144" operator="equal">
      <formula>7</formula>
    </cfRule>
    <cfRule type="cellIs" dxfId="132" priority="145" operator="equal">
      <formula>1</formula>
    </cfRule>
  </conditionalFormatting>
  <conditionalFormatting sqref="K5:K36">
    <cfRule type="cellIs" dxfId="131" priority="120" operator="equal">
      <formula>"a"</formula>
    </cfRule>
    <cfRule type="cellIs" dxfId="130" priority="121" operator="equal">
      <formula>"k"</formula>
    </cfRule>
    <cfRule type="cellIs" dxfId="129" priority="122" operator="equal">
      <formula>"u"</formula>
    </cfRule>
    <cfRule type="cellIs" dxfId="128" priority="123" operator="equal">
      <formula>"f"</formula>
    </cfRule>
    <cfRule type="cellIs" dxfId="127" priority="124" operator="equal">
      <formula>9</formula>
    </cfRule>
    <cfRule type="cellIs" dxfId="126" priority="125" operator="equal">
      <formula>8</formula>
    </cfRule>
    <cfRule type="cellIs" dxfId="125" priority="126" operator="equal">
      <formula>5</formula>
    </cfRule>
    <cfRule type="cellIs" dxfId="124" priority="127" operator="equal">
      <formula>3</formula>
    </cfRule>
    <cfRule type="cellIs" dxfId="123" priority="128" operator="equal">
      <formula>6</formula>
    </cfRule>
    <cfRule type="cellIs" dxfId="122" priority="129" operator="equal">
      <formula>4</formula>
    </cfRule>
    <cfRule type="cellIs" dxfId="121" priority="130" operator="equal">
      <formula>2</formula>
    </cfRule>
    <cfRule type="cellIs" dxfId="120" priority="131" operator="equal">
      <formula>7</formula>
    </cfRule>
    <cfRule type="cellIs" dxfId="119" priority="132" operator="equal">
      <formula>1</formula>
    </cfRule>
  </conditionalFormatting>
  <conditionalFormatting sqref="N5:N36">
    <cfRule type="cellIs" dxfId="118" priority="107" operator="equal">
      <formula>"a"</formula>
    </cfRule>
    <cfRule type="cellIs" dxfId="117" priority="108" operator="equal">
      <formula>"k"</formula>
    </cfRule>
    <cfRule type="cellIs" dxfId="116" priority="109" operator="equal">
      <formula>"u"</formula>
    </cfRule>
    <cfRule type="cellIs" dxfId="115" priority="110" operator="equal">
      <formula>"f"</formula>
    </cfRule>
    <cfRule type="cellIs" dxfId="114" priority="111" operator="equal">
      <formula>9</formula>
    </cfRule>
    <cfRule type="cellIs" dxfId="113" priority="112" operator="equal">
      <formula>8</formula>
    </cfRule>
    <cfRule type="cellIs" dxfId="112" priority="113" operator="equal">
      <formula>5</formula>
    </cfRule>
    <cfRule type="cellIs" dxfId="111" priority="114" operator="equal">
      <formula>3</formula>
    </cfRule>
    <cfRule type="cellIs" dxfId="110" priority="115" operator="equal">
      <formula>6</formula>
    </cfRule>
    <cfRule type="cellIs" dxfId="109" priority="116" operator="equal">
      <formula>4</formula>
    </cfRule>
    <cfRule type="cellIs" dxfId="108" priority="117" operator="equal">
      <formula>2</formula>
    </cfRule>
    <cfRule type="cellIs" dxfId="107" priority="118" operator="equal">
      <formula>7</formula>
    </cfRule>
    <cfRule type="cellIs" dxfId="106" priority="119" operator="equal">
      <formula>1</formula>
    </cfRule>
  </conditionalFormatting>
  <conditionalFormatting sqref="Q5:Q36">
    <cfRule type="cellIs" dxfId="105" priority="94" operator="equal">
      <formula>"a"</formula>
    </cfRule>
    <cfRule type="cellIs" dxfId="104" priority="95" operator="equal">
      <formula>"k"</formula>
    </cfRule>
    <cfRule type="cellIs" dxfId="103" priority="96" operator="equal">
      <formula>"u"</formula>
    </cfRule>
    <cfRule type="cellIs" dxfId="102" priority="97" operator="equal">
      <formula>"f"</formula>
    </cfRule>
    <cfRule type="cellIs" dxfId="101" priority="98" operator="equal">
      <formula>9</formula>
    </cfRule>
    <cfRule type="cellIs" dxfId="100" priority="99" operator="equal">
      <formula>8</formula>
    </cfRule>
    <cfRule type="cellIs" dxfId="99" priority="100" operator="equal">
      <formula>5</formula>
    </cfRule>
    <cfRule type="cellIs" dxfId="98" priority="101" operator="equal">
      <formula>3</formula>
    </cfRule>
    <cfRule type="cellIs" dxfId="97" priority="102" operator="equal">
      <formula>6</formula>
    </cfRule>
    <cfRule type="cellIs" dxfId="96" priority="103" operator="equal">
      <formula>4</formula>
    </cfRule>
    <cfRule type="cellIs" dxfId="95" priority="104" operator="equal">
      <formula>2</formula>
    </cfRule>
    <cfRule type="cellIs" dxfId="94" priority="105" operator="equal">
      <formula>7</formula>
    </cfRule>
    <cfRule type="cellIs" dxfId="93" priority="106" operator="equal">
      <formula>1</formula>
    </cfRule>
  </conditionalFormatting>
  <conditionalFormatting sqref="T5:T36">
    <cfRule type="cellIs" dxfId="92" priority="81" operator="equal">
      <formula>"a"</formula>
    </cfRule>
    <cfRule type="cellIs" dxfId="91" priority="82" operator="equal">
      <formula>"k"</formula>
    </cfRule>
    <cfRule type="cellIs" dxfId="90" priority="83" operator="equal">
      <formula>"u"</formula>
    </cfRule>
    <cfRule type="cellIs" dxfId="89" priority="84" operator="equal">
      <formula>"f"</formula>
    </cfRule>
    <cfRule type="cellIs" dxfId="88" priority="85" operator="equal">
      <formula>9</formula>
    </cfRule>
    <cfRule type="cellIs" dxfId="87" priority="86" operator="equal">
      <formula>8</formula>
    </cfRule>
    <cfRule type="cellIs" dxfId="86" priority="87" operator="equal">
      <formula>5</formula>
    </cfRule>
    <cfRule type="cellIs" dxfId="85" priority="88" operator="equal">
      <formula>3</formula>
    </cfRule>
    <cfRule type="cellIs" dxfId="84" priority="89" operator="equal">
      <formula>6</formula>
    </cfRule>
    <cfRule type="cellIs" dxfId="83" priority="90" operator="equal">
      <formula>4</formula>
    </cfRule>
    <cfRule type="cellIs" dxfId="82" priority="91" operator="equal">
      <formula>2</formula>
    </cfRule>
    <cfRule type="cellIs" dxfId="81" priority="92" operator="equal">
      <formula>7</formula>
    </cfRule>
    <cfRule type="cellIs" dxfId="80" priority="93" operator="equal">
      <formula>1</formula>
    </cfRule>
  </conditionalFormatting>
  <conditionalFormatting sqref="F5:F36">
    <cfRule type="expression" dxfId="79" priority="68">
      <formula>COUNTIF(E5,"a")</formula>
    </cfRule>
    <cfRule type="expression" dxfId="78" priority="69">
      <formula>COUNTIF(E5,"9")</formula>
    </cfRule>
    <cfRule type="expression" dxfId="77" priority="70">
      <formula>COUNTIF(E5,"k")</formula>
    </cfRule>
    <cfRule type="expression" dxfId="76" priority="71">
      <formula>COUNTIF(E5,"u")</formula>
    </cfRule>
    <cfRule type="expression" dxfId="75" priority="72">
      <formula>COUNTIF(E5,"f")</formula>
    </cfRule>
    <cfRule type="expression" dxfId="74" priority="73">
      <formula>COUNTIF(E5,"8")</formula>
    </cfRule>
    <cfRule type="expression" dxfId="73" priority="74">
      <formula>COUNTIF(E5,"7")</formula>
    </cfRule>
    <cfRule type="expression" dxfId="72" priority="75">
      <formula>COUNTIF(E5,"3")</formula>
    </cfRule>
    <cfRule type="expression" dxfId="71" priority="77">
      <formula>COUNTIF(E5,"5")</formula>
    </cfRule>
    <cfRule type="expression" dxfId="70" priority="78">
      <formula>COUNTIF(E5,"2")</formula>
    </cfRule>
    <cfRule type="expression" dxfId="69" priority="79">
      <formula>COUNTIF(E5,"4")</formula>
    </cfRule>
    <cfRule type="expression" dxfId="68" priority="80">
      <formula>COUNTIF(E5,"1")</formula>
    </cfRule>
  </conditionalFormatting>
  <conditionalFormatting sqref="F5:F36">
    <cfRule type="expression" dxfId="67" priority="76">
      <formula>COUNTIF(E5,"6")</formula>
    </cfRule>
  </conditionalFormatting>
  <conditionalFormatting sqref="I5:I36">
    <cfRule type="expression" dxfId="66" priority="55">
      <formula>COUNTIF(H5,"a")</formula>
    </cfRule>
    <cfRule type="expression" dxfId="65" priority="56">
      <formula>COUNTIF(H5,"9")</formula>
    </cfRule>
    <cfRule type="expression" dxfId="64" priority="57">
      <formula>COUNTIF(H5,"k")</formula>
    </cfRule>
    <cfRule type="expression" dxfId="63" priority="58">
      <formula>COUNTIF(H5,"u")</formula>
    </cfRule>
    <cfRule type="expression" dxfId="62" priority="59">
      <formula>COUNTIF(H5,"f")</formula>
    </cfRule>
    <cfRule type="expression" dxfId="61" priority="60">
      <formula>COUNTIF(H5,"8")</formula>
    </cfRule>
    <cfRule type="expression" dxfId="60" priority="61">
      <formula>COUNTIF(H5,"7")</formula>
    </cfRule>
    <cfRule type="expression" dxfId="59" priority="62">
      <formula>COUNTIF(H5,"3")</formula>
    </cfRule>
    <cfRule type="expression" dxfId="58" priority="64">
      <formula>COUNTIF(H5,"5")</formula>
    </cfRule>
    <cfRule type="expression" dxfId="57" priority="65">
      <formula>COUNTIF(H5,"2")</formula>
    </cfRule>
    <cfRule type="expression" dxfId="56" priority="66">
      <formula>COUNTIF(H5,"4")</formula>
    </cfRule>
    <cfRule type="expression" dxfId="55" priority="67">
      <formula>COUNTIF(H5,"1")</formula>
    </cfRule>
  </conditionalFormatting>
  <conditionalFormatting sqref="I5:I36">
    <cfRule type="expression" dxfId="54" priority="63">
      <formula>COUNTIF(H5,"6")</formula>
    </cfRule>
  </conditionalFormatting>
  <conditionalFormatting sqref="L5:L36">
    <cfRule type="expression" dxfId="53" priority="42">
      <formula>COUNTIF(K5,"a")</formula>
    </cfRule>
    <cfRule type="expression" dxfId="52" priority="43">
      <formula>COUNTIF(K5,"9")</formula>
    </cfRule>
    <cfRule type="expression" dxfId="51" priority="44">
      <formula>COUNTIF(K5,"k")</formula>
    </cfRule>
    <cfRule type="expression" dxfId="50" priority="45">
      <formula>COUNTIF(K5,"u")</formula>
    </cfRule>
    <cfRule type="expression" dxfId="49" priority="46">
      <formula>COUNTIF(K5,"f")</formula>
    </cfRule>
    <cfRule type="expression" dxfId="48" priority="47">
      <formula>COUNTIF(K5,"8")</formula>
    </cfRule>
    <cfRule type="expression" dxfId="47" priority="48">
      <formula>COUNTIF(K5,"7")</formula>
    </cfRule>
    <cfRule type="expression" dxfId="46" priority="49">
      <formula>COUNTIF(K5,"3")</formula>
    </cfRule>
    <cfRule type="expression" dxfId="45" priority="51">
      <formula>COUNTIF(K5,"5")</formula>
    </cfRule>
    <cfRule type="expression" dxfId="44" priority="52">
      <formula>COUNTIF(K5,"2")</formula>
    </cfRule>
    <cfRule type="expression" dxfId="43" priority="53">
      <formula>COUNTIF(K5,"4")</formula>
    </cfRule>
    <cfRule type="expression" dxfId="42" priority="54">
      <formula>COUNTIF(K5,"1")</formula>
    </cfRule>
  </conditionalFormatting>
  <conditionalFormatting sqref="L5:L36">
    <cfRule type="expression" dxfId="41" priority="50">
      <formula>COUNTIF(K5,"6")</formula>
    </cfRule>
  </conditionalFormatting>
  <conditionalFormatting sqref="O5:O36">
    <cfRule type="expression" dxfId="40" priority="29">
      <formula>COUNTIF(N5,"a")</formula>
    </cfRule>
    <cfRule type="expression" dxfId="39" priority="30">
      <formula>COUNTIF(N5,"9")</formula>
    </cfRule>
    <cfRule type="expression" dxfId="38" priority="31">
      <formula>COUNTIF(N5,"k")</formula>
    </cfRule>
    <cfRule type="expression" dxfId="37" priority="32">
      <formula>COUNTIF(N5,"u")</formula>
    </cfRule>
    <cfRule type="expression" dxfId="36" priority="33">
      <formula>COUNTIF(N5,"f")</formula>
    </cfRule>
    <cfRule type="expression" dxfId="35" priority="34">
      <formula>COUNTIF(N5,"8")</formula>
    </cfRule>
    <cfRule type="expression" dxfId="34" priority="35">
      <formula>COUNTIF(N5,"7")</formula>
    </cfRule>
    <cfRule type="expression" dxfId="33" priority="36">
      <formula>COUNTIF(N5,"3")</formula>
    </cfRule>
    <cfRule type="expression" dxfId="32" priority="38">
      <formula>COUNTIF(N5,"5")</formula>
    </cfRule>
    <cfRule type="expression" dxfId="31" priority="39">
      <formula>COUNTIF(N5,"2")</formula>
    </cfRule>
    <cfRule type="expression" dxfId="30" priority="40">
      <formula>COUNTIF(N5,"4")</formula>
    </cfRule>
    <cfRule type="expression" dxfId="29" priority="41">
      <formula>COUNTIF(N5,"1")</formula>
    </cfRule>
  </conditionalFormatting>
  <conditionalFormatting sqref="O5:O36">
    <cfRule type="expression" dxfId="28" priority="37">
      <formula>COUNTIF(N5,"6")</formula>
    </cfRule>
  </conditionalFormatting>
  <conditionalFormatting sqref="R5:R36">
    <cfRule type="expression" dxfId="27" priority="16">
      <formula>COUNTIF(Q5,"a")</formula>
    </cfRule>
    <cfRule type="expression" dxfId="26" priority="17">
      <formula>COUNTIF(Q5,"9")</formula>
    </cfRule>
    <cfRule type="expression" dxfId="25" priority="18">
      <formula>COUNTIF(Q5,"k")</formula>
    </cfRule>
    <cfRule type="expression" dxfId="24" priority="19">
      <formula>COUNTIF(Q5,"u")</formula>
    </cfRule>
    <cfRule type="expression" dxfId="23" priority="20">
      <formula>COUNTIF(Q5,"f")</formula>
    </cfRule>
    <cfRule type="expression" dxfId="22" priority="21">
      <formula>COUNTIF(Q5,"8")</formula>
    </cfRule>
    <cfRule type="expression" dxfId="21" priority="22">
      <formula>COUNTIF(Q5,"7")</formula>
    </cfRule>
    <cfRule type="expression" dxfId="20" priority="23">
      <formula>COUNTIF(Q5,"3")</formula>
    </cfRule>
    <cfRule type="expression" dxfId="19" priority="25">
      <formula>COUNTIF(Q5,"5")</formula>
    </cfRule>
    <cfRule type="expression" dxfId="18" priority="26">
      <formula>COUNTIF(Q5,"2")</formula>
    </cfRule>
    <cfRule type="expression" dxfId="17" priority="27">
      <formula>COUNTIF(Q5,"4")</formula>
    </cfRule>
    <cfRule type="expression" dxfId="16" priority="28">
      <formula>COUNTIF(Q5,"1")</formula>
    </cfRule>
  </conditionalFormatting>
  <conditionalFormatting sqref="R5:R36">
    <cfRule type="expression" dxfId="15" priority="24">
      <formula>COUNTIF(Q5,"6")</formula>
    </cfRule>
  </conditionalFormatting>
  <conditionalFormatting sqref="U5:U36">
    <cfRule type="expression" dxfId="14" priority="3">
      <formula>COUNTIF(T5,"a")</formula>
    </cfRule>
    <cfRule type="expression" dxfId="13" priority="4">
      <formula>COUNTIF(T5,"9")</formula>
    </cfRule>
    <cfRule type="expression" dxfId="12" priority="5">
      <formula>COUNTIF(T5,"k")</formula>
    </cfRule>
    <cfRule type="expression" dxfId="11" priority="6">
      <formula>COUNTIF(T5,"u")</formula>
    </cfRule>
    <cfRule type="expression" dxfId="10" priority="7">
      <formula>COUNTIF(T5,"f")</formula>
    </cfRule>
    <cfRule type="expression" dxfId="9" priority="8">
      <formula>COUNTIF(T5,"8")</formula>
    </cfRule>
    <cfRule type="expression" dxfId="8" priority="9">
      <formula>COUNTIF(T5,"7")</formula>
    </cfRule>
    <cfRule type="expression" dxfId="7" priority="10">
      <formula>COUNTIF(T5,"3")</formula>
    </cfRule>
    <cfRule type="expression" dxfId="6" priority="12">
      <formula>COUNTIF(T5,"5")</formula>
    </cfRule>
    <cfRule type="expression" dxfId="5" priority="13">
      <formula>COUNTIF(T5,"2")</formula>
    </cfRule>
    <cfRule type="expression" dxfId="4" priority="14">
      <formula>COUNTIF(T5,"4")</formula>
    </cfRule>
    <cfRule type="expression" dxfId="3" priority="15">
      <formula>COUNTIF(T5,"1")</formula>
    </cfRule>
  </conditionalFormatting>
  <conditionalFormatting sqref="U5:U36">
    <cfRule type="expression" dxfId="2" priority="11">
      <formula>COUNTIF(T5,"6")</formula>
    </cfRule>
  </conditionalFormatting>
  <conditionalFormatting sqref="V32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1">
    <dataValidation type="list" allowBlank="1" showInputMessage="1" showErrorMessage="1" sqref="B5:B36 E5:E36 H5:H36 K5:K36 N5:N36 Q5:Q36 T5:T36" xr:uid="{6C447052-6BF0-CA42-B16B-49CE9DA11A13}">
      <formula1>$X$5:$X$23</formula1>
    </dataValidation>
  </dataValidations>
  <pageMargins left="0.25" right="0.25" top="0.75" bottom="0.75" header="0.3" footer="0.3"/>
  <pageSetup paperSize="9" scale="75" orientation="landscape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sharepoint_itemlink%2Fb!V5_8y1qIVkeew2Fmn0zyUxziVOmUbfpDvTuINcGKbQkrT2QHv58-QJdnFnYpEJVU%2F01PKI66BE5XQV2G2QF6ZAZCZMS2EDLAAUS:ms-officescript%3A%2F%2Fsharepoint_sharinglink%2Fu!aHR0cHM6Ly9raWRzdGVhbS5zaGFyZXBvaW50LmNvbS86dTovcy9taXRhcmJlaXRlci9FWjI4SzZOcUJmWkJrV1dTMFFhd0FwSUJ0NWxmNHl0dlZQbEx0VXRpLTJmT2dR"/>
</scriptIds>
</file>

<file path=customXml/itemProps1.xml><?xml version="1.0" encoding="utf-8"?>
<ds:datastoreItem xmlns:ds="http://schemas.openxmlformats.org/officeDocument/2006/customXml" ds:itemID="{4F256C57-61B9-4373-A8D2-C9BA72380E49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55</vt:i4>
      </vt:variant>
    </vt:vector>
  </HeadingPairs>
  <TitlesOfParts>
    <vt:vector size="55" baseType="lpstr">
      <vt:lpstr>Übersicht</vt:lpstr>
      <vt:lpstr>Rechenblatt</vt:lpstr>
      <vt:lpstr>KW 1</vt:lpstr>
      <vt:lpstr>KW 2</vt:lpstr>
      <vt:lpstr>KW 3</vt:lpstr>
      <vt:lpstr>KW 4</vt:lpstr>
      <vt:lpstr>KW 5</vt:lpstr>
      <vt:lpstr>KW 6</vt:lpstr>
      <vt:lpstr>KW 7</vt:lpstr>
      <vt:lpstr>KW 8</vt:lpstr>
      <vt:lpstr>KW 9</vt:lpstr>
      <vt:lpstr>KW 10</vt:lpstr>
      <vt:lpstr>KW 11</vt:lpstr>
      <vt:lpstr>KW 12</vt:lpstr>
      <vt:lpstr>KW 13</vt:lpstr>
      <vt:lpstr>KW 14</vt:lpstr>
      <vt:lpstr>KW 15</vt:lpstr>
      <vt:lpstr>KW 16</vt:lpstr>
      <vt:lpstr>KW 17</vt:lpstr>
      <vt:lpstr>KW 18</vt:lpstr>
      <vt:lpstr>KW 19</vt:lpstr>
      <vt:lpstr>KW 20</vt:lpstr>
      <vt:lpstr>KW 21</vt:lpstr>
      <vt:lpstr>KW 22</vt:lpstr>
      <vt:lpstr>KW 23</vt:lpstr>
      <vt:lpstr>KW 24</vt:lpstr>
      <vt:lpstr>KW 25</vt:lpstr>
      <vt:lpstr>KW 26</vt:lpstr>
      <vt:lpstr>KW 27</vt:lpstr>
      <vt:lpstr>KW 28</vt:lpstr>
      <vt:lpstr>KW 29</vt:lpstr>
      <vt:lpstr>KW 30</vt:lpstr>
      <vt:lpstr>KW 31</vt:lpstr>
      <vt:lpstr>KW 32</vt:lpstr>
      <vt:lpstr>KW 33</vt:lpstr>
      <vt:lpstr>KW 34</vt:lpstr>
      <vt:lpstr>KW 35</vt:lpstr>
      <vt:lpstr>KW 36</vt:lpstr>
      <vt:lpstr>KW 37</vt:lpstr>
      <vt:lpstr>KW 38</vt:lpstr>
      <vt:lpstr>KW 39</vt:lpstr>
      <vt:lpstr>KW 40</vt:lpstr>
      <vt:lpstr>KW 41</vt:lpstr>
      <vt:lpstr>KW 42</vt:lpstr>
      <vt:lpstr>KW 43</vt:lpstr>
      <vt:lpstr>KW 44</vt:lpstr>
      <vt:lpstr>KW 45</vt:lpstr>
      <vt:lpstr>KW 46</vt:lpstr>
      <vt:lpstr>KW 47</vt:lpstr>
      <vt:lpstr>KW 48</vt:lpstr>
      <vt:lpstr>KW 49</vt:lpstr>
      <vt:lpstr>KW 50</vt:lpstr>
      <vt:lpstr>KW 51</vt:lpstr>
      <vt:lpstr>KW 52</vt:lpstr>
      <vt:lpstr>KW 53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Gollenia</dc:creator>
  <cp:keywords/>
  <dc:description/>
  <cp:lastModifiedBy>Thomas Gollenia</cp:lastModifiedBy>
  <cp:revision/>
  <cp:lastPrinted>2018-10-03T10:07:26Z</cp:lastPrinted>
  <dcterms:created xsi:type="dcterms:W3CDTF">2017-01-09T06:21:33Z</dcterms:created>
  <dcterms:modified xsi:type="dcterms:W3CDTF">2023-12-31T04:59:31Z</dcterms:modified>
  <cp:category/>
  <cp:contentStatus/>
</cp:coreProperties>
</file>